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A6868B0FD06EF7/Documents/"/>
    </mc:Choice>
  </mc:AlternateContent>
  <xr:revisionPtr revIDLastSave="2127" documentId="8_{06133283-7D51-4101-ACF2-8F93EBA44722}" xr6:coauthVersionLast="47" xr6:coauthVersionMax="47" xr10:uidLastSave="{8ADBC896-21C9-4494-B5BF-BEA83A0A3CE7}"/>
  <bookViews>
    <workbookView xWindow="-108" yWindow="-108" windowWidth="23256" windowHeight="12456" activeTab="3" xr2:uid="{0ABF8F8D-A5C6-4B74-9FD9-CAACC9571FF2}"/>
  </bookViews>
  <sheets>
    <sheet name="Dashboard" sheetId="10" r:id="rId1"/>
    <sheet name="Few-shot Analysis" sheetId="15" r:id="rId2"/>
    <sheet name="Extras" sheetId="14" r:id="rId3"/>
    <sheet name="TIL-LoRA" sheetId="11" r:id="rId4"/>
    <sheet name="TIL-LoRA (isolated)" sheetId="1" state="hidden" r:id="rId5"/>
    <sheet name="CIL-LoRA" sheetId="3" r:id="rId6"/>
    <sheet name="Prompt-based CL" sheetId="7" r:id="rId7"/>
    <sheet name="Fine-tuning" sheetId="5" r:id="rId8"/>
    <sheet name="Regularisation-base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5" i="3" l="1"/>
  <c r="I146" i="3"/>
  <c r="K144" i="3"/>
  <c r="H144" i="3"/>
  <c r="K143" i="3"/>
  <c r="J143" i="3"/>
  <c r="H143" i="3"/>
  <c r="K142" i="3"/>
  <c r="J142" i="3"/>
  <c r="H142" i="3"/>
  <c r="K141" i="3"/>
  <c r="J141" i="3"/>
  <c r="H141" i="3"/>
  <c r="J140" i="3"/>
  <c r="J146" i="3" s="1"/>
  <c r="H140" i="3"/>
  <c r="I139" i="11"/>
  <c r="L138" i="11"/>
  <c r="K137" i="11"/>
  <c r="H137" i="11"/>
  <c r="K136" i="11"/>
  <c r="J136" i="11"/>
  <c r="H136" i="11"/>
  <c r="K135" i="11"/>
  <c r="J135" i="11"/>
  <c r="H135" i="11"/>
  <c r="K134" i="11"/>
  <c r="J134" i="11"/>
  <c r="H134" i="11"/>
  <c r="J133" i="11"/>
  <c r="J139" i="11" s="1"/>
  <c r="H133" i="11"/>
  <c r="I59" i="5"/>
  <c r="L58" i="5"/>
  <c r="K57" i="5"/>
  <c r="H57" i="5"/>
  <c r="K56" i="5"/>
  <c r="J56" i="5"/>
  <c r="H56" i="5"/>
  <c r="K55" i="5"/>
  <c r="J55" i="5"/>
  <c r="H55" i="5"/>
  <c r="K54" i="5"/>
  <c r="J54" i="5"/>
  <c r="H54" i="5"/>
  <c r="J53" i="5"/>
  <c r="J59" i="5" s="1"/>
  <c r="H53" i="5"/>
  <c r="L135" i="3"/>
  <c r="L8" i="9"/>
  <c r="L48" i="5"/>
  <c r="L38" i="5"/>
  <c r="L28" i="5"/>
  <c r="L18" i="5"/>
  <c r="L8" i="5"/>
  <c r="L18" i="7"/>
  <c r="L8" i="7"/>
  <c r="L125" i="3"/>
  <c r="L115" i="3"/>
  <c r="I55" i="3"/>
  <c r="L105" i="3"/>
  <c r="L95" i="3"/>
  <c r="L85" i="3"/>
  <c r="L75" i="3"/>
  <c r="L65" i="3"/>
  <c r="L48" i="3"/>
  <c r="L38" i="3"/>
  <c r="L28" i="3"/>
  <c r="L18" i="3"/>
  <c r="L8" i="3"/>
  <c r="L78" i="11"/>
  <c r="L68" i="11"/>
  <c r="L58" i="11"/>
  <c r="L48" i="11"/>
  <c r="L38" i="11"/>
  <c r="L28" i="11"/>
  <c r="L18" i="11"/>
  <c r="L8" i="11"/>
  <c r="I136" i="3"/>
  <c r="K134" i="3"/>
  <c r="H134" i="3"/>
  <c r="K133" i="3"/>
  <c r="J133" i="3"/>
  <c r="H133" i="3"/>
  <c r="K132" i="3"/>
  <c r="J132" i="3"/>
  <c r="H132" i="3"/>
  <c r="K131" i="3"/>
  <c r="J131" i="3"/>
  <c r="H131" i="3"/>
  <c r="H136" i="3" s="1"/>
  <c r="J130" i="3"/>
  <c r="J136" i="3" s="1"/>
  <c r="H130" i="3"/>
  <c r="I126" i="3"/>
  <c r="K124" i="3"/>
  <c r="H124" i="3"/>
  <c r="K123" i="3"/>
  <c r="J123" i="3"/>
  <c r="H123" i="3"/>
  <c r="K122" i="3"/>
  <c r="J122" i="3"/>
  <c r="H122" i="3"/>
  <c r="K121" i="3"/>
  <c r="K126" i="3" s="1"/>
  <c r="J121" i="3"/>
  <c r="J126" i="3" s="1"/>
  <c r="H121" i="3"/>
  <c r="H126" i="3" s="1"/>
  <c r="J120" i="3"/>
  <c r="H120" i="3"/>
  <c r="I116" i="3"/>
  <c r="K114" i="3"/>
  <c r="H114" i="3"/>
  <c r="K113" i="3"/>
  <c r="J113" i="3"/>
  <c r="H113" i="3"/>
  <c r="K112" i="3"/>
  <c r="J112" i="3"/>
  <c r="H112" i="3"/>
  <c r="K111" i="3"/>
  <c r="K116" i="3" s="1"/>
  <c r="J111" i="3"/>
  <c r="H111" i="3"/>
  <c r="J110" i="3"/>
  <c r="J116" i="3" s="1"/>
  <c r="H110" i="3"/>
  <c r="I129" i="11"/>
  <c r="L128" i="11"/>
  <c r="K127" i="11"/>
  <c r="H127" i="11"/>
  <c r="K126" i="11"/>
  <c r="J126" i="11"/>
  <c r="H126" i="11"/>
  <c r="K125" i="11"/>
  <c r="J125" i="11"/>
  <c r="H125" i="11"/>
  <c r="K124" i="11"/>
  <c r="K129" i="11" s="1"/>
  <c r="J124" i="11"/>
  <c r="H124" i="11"/>
  <c r="J123" i="11"/>
  <c r="H123" i="11"/>
  <c r="I119" i="11"/>
  <c r="L118" i="11"/>
  <c r="K117" i="11"/>
  <c r="H117" i="11"/>
  <c r="K116" i="11"/>
  <c r="J116" i="11"/>
  <c r="H116" i="11"/>
  <c r="K115" i="11"/>
  <c r="J115" i="11"/>
  <c r="H115" i="11"/>
  <c r="K114" i="11"/>
  <c r="J114" i="11"/>
  <c r="H114" i="11"/>
  <c r="J113" i="11"/>
  <c r="H113" i="11"/>
  <c r="H119" i="11" s="1"/>
  <c r="I109" i="11"/>
  <c r="L108" i="11"/>
  <c r="K107" i="11"/>
  <c r="H107" i="11"/>
  <c r="K106" i="11"/>
  <c r="J106" i="11"/>
  <c r="H106" i="11"/>
  <c r="K105" i="11"/>
  <c r="J105" i="11"/>
  <c r="H105" i="11"/>
  <c r="K104" i="11"/>
  <c r="J104" i="11"/>
  <c r="H104" i="11"/>
  <c r="J103" i="11"/>
  <c r="H103" i="11"/>
  <c r="H109" i="11" s="1"/>
  <c r="I49" i="5"/>
  <c r="K47" i="5"/>
  <c r="H47" i="5"/>
  <c r="K46" i="5"/>
  <c r="J46" i="5"/>
  <c r="H46" i="5"/>
  <c r="K45" i="5"/>
  <c r="J45" i="5"/>
  <c r="H45" i="5"/>
  <c r="K44" i="5"/>
  <c r="K49" i="5" s="1"/>
  <c r="J44" i="5"/>
  <c r="H44" i="5"/>
  <c r="J43" i="5"/>
  <c r="J49" i="5" s="1"/>
  <c r="H43" i="5"/>
  <c r="H49" i="5" s="1"/>
  <c r="I39" i="5"/>
  <c r="K37" i="5"/>
  <c r="H37" i="5"/>
  <c r="K36" i="5"/>
  <c r="J36" i="5"/>
  <c r="H36" i="5"/>
  <c r="K35" i="5"/>
  <c r="J35" i="5"/>
  <c r="H35" i="5"/>
  <c r="K34" i="5"/>
  <c r="K39" i="5" s="1"/>
  <c r="J34" i="5"/>
  <c r="H34" i="5"/>
  <c r="J33" i="5"/>
  <c r="J39" i="5" s="1"/>
  <c r="H33" i="5"/>
  <c r="H39" i="5" s="1"/>
  <c r="I29" i="5"/>
  <c r="K27" i="5"/>
  <c r="H27" i="5"/>
  <c r="K26" i="5"/>
  <c r="J26" i="5"/>
  <c r="H26" i="5"/>
  <c r="K25" i="5"/>
  <c r="J25" i="5"/>
  <c r="H25" i="5"/>
  <c r="K24" i="5"/>
  <c r="K29" i="5" s="1"/>
  <c r="J24" i="5"/>
  <c r="H24" i="5"/>
  <c r="J23" i="5"/>
  <c r="J29" i="5" s="1"/>
  <c r="H23" i="5"/>
  <c r="H29" i="5" s="1"/>
  <c r="I99" i="11"/>
  <c r="L98" i="11"/>
  <c r="K97" i="11"/>
  <c r="H97" i="11"/>
  <c r="K96" i="11"/>
  <c r="J96" i="11"/>
  <c r="H96" i="11"/>
  <c r="K95" i="11"/>
  <c r="J95" i="11"/>
  <c r="H95" i="11"/>
  <c r="K94" i="11"/>
  <c r="K99" i="11" s="1"/>
  <c r="J94" i="11"/>
  <c r="H94" i="11"/>
  <c r="J93" i="11"/>
  <c r="J99" i="11" s="1"/>
  <c r="H93" i="11"/>
  <c r="I106" i="3"/>
  <c r="K104" i="3"/>
  <c r="H104" i="3"/>
  <c r="K103" i="3"/>
  <c r="J103" i="3"/>
  <c r="H103" i="3"/>
  <c r="K102" i="3"/>
  <c r="J102" i="3"/>
  <c r="H102" i="3"/>
  <c r="K101" i="3"/>
  <c r="K106" i="3" s="1"/>
  <c r="J101" i="3"/>
  <c r="H101" i="3"/>
  <c r="J100" i="3"/>
  <c r="J106" i="3" s="1"/>
  <c r="H100" i="3"/>
  <c r="I96" i="3"/>
  <c r="K94" i="3"/>
  <c r="H94" i="3"/>
  <c r="K93" i="3"/>
  <c r="J93" i="3"/>
  <c r="H93" i="3"/>
  <c r="K92" i="3"/>
  <c r="J92" i="3"/>
  <c r="H92" i="3"/>
  <c r="K91" i="3"/>
  <c r="J91" i="3"/>
  <c r="H91" i="3"/>
  <c r="J90" i="3"/>
  <c r="J96" i="3" s="1"/>
  <c r="H90" i="3"/>
  <c r="H96" i="3" s="1"/>
  <c r="I89" i="11"/>
  <c r="L88" i="11"/>
  <c r="K87" i="11"/>
  <c r="H87" i="11"/>
  <c r="K86" i="11"/>
  <c r="J86" i="11"/>
  <c r="H86" i="11"/>
  <c r="K85" i="11"/>
  <c r="J85" i="11"/>
  <c r="H85" i="11"/>
  <c r="K84" i="11"/>
  <c r="K89" i="11" s="1"/>
  <c r="J84" i="11"/>
  <c r="H84" i="11"/>
  <c r="J83" i="11"/>
  <c r="H83" i="11"/>
  <c r="H89" i="11" s="1"/>
  <c r="I9" i="11"/>
  <c r="K7" i="11"/>
  <c r="H7" i="11"/>
  <c r="K6" i="11"/>
  <c r="J6" i="11"/>
  <c r="H6" i="11"/>
  <c r="K5" i="11"/>
  <c r="J5" i="11"/>
  <c r="H5" i="11"/>
  <c r="K4" i="11"/>
  <c r="K9" i="11" s="1"/>
  <c r="J4" i="11"/>
  <c r="J9" i="11" s="1"/>
  <c r="H4" i="11"/>
  <c r="J3" i="11"/>
  <c r="H3" i="11"/>
  <c r="H9" i="11" s="1"/>
  <c r="I19" i="11"/>
  <c r="K17" i="11"/>
  <c r="H17" i="11"/>
  <c r="K16" i="11"/>
  <c r="J16" i="11"/>
  <c r="H16" i="11"/>
  <c r="K15" i="11"/>
  <c r="J15" i="11"/>
  <c r="H15" i="11"/>
  <c r="K14" i="11"/>
  <c r="J14" i="11"/>
  <c r="H14" i="11"/>
  <c r="J13" i="11"/>
  <c r="H13" i="11"/>
  <c r="I79" i="11"/>
  <c r="K77" i="11"/>
  <c r="H77" i="11"/>
  <c r="K76" i="11"/>
  <c r="J76" i="11"/>
  <c r="H76" i="11"/>
  <c r="K75" i="11"/>
  <c r="J75" i="11"/>
  <c r="H75" i="11"/>
  <c r="K74" i="11"/>
  <c r="J74" i="11"/>
  <c r="H74" i="11"/>
  <c r="J73" i="11"/>
  <c r="H73" i="11"/>
  <c r="I69" i="11"/>
  <c r="K67" i="11"/>
  <c r="H67" i="11"/>
  <c r="K66" i="11"/>
  <c r="J66" i="11"/>
  <c r="H66" i="11"/>
  <c r="K65" i="11"/>
  <c r="J65" i="11"/>
  <c r="H65" i="11"/>
  <c r="K64" i="11"/>
  <c r="J64" i="11"/>
  <c r="H64" i="11"/>
  <c r="J63" i="11"/>
  <c r="H63" i="11"/>
  <c r="I59" i="11"/>
  <c r="K57" i="11"/>
  <c r="H57" i="11"/>
  <c r="K56" i="11"/>
  <c r="J56" i="11"/>
  <c r="H56" i="11"/>
  <c r="K55" i="11"/>
  <c r="J55" i="11"/>
  <c r="H55" i="11"/>
  <c r="K54" i="11"/>
  <c r="J54" i="11"/>
  <c r="H54" i="11"/>
  <c r="J53" i="11"/>
  <c r="H53" i="11"/>
  <c r="I49" i="11"/>
  <c r="K47" i="11"/>
  <c r="H47" i="11"/>
  <c r="K46" i="11"/>
  <c r="J46" i="11"/>
  <c r="H46" i="11"/>
  <c r="K45" i="11"/>
  <c r="J45" i="11"/>
  <c r="H45" i="11"/>
  <c r="K44" i="11"/>
  <c r="J44" i="11"/>
  <c r="H44" i="11"/>
  <c r="J43" i="11"/>
  <c r="H43" i="11"/>
  <c r="I39" i="11"/>
  <c r="K37" i="11"/>
  <c r="H37" i="11"/>
  <c r="K36" i="11"/>
  <c r="J36" i="11"/>
  <c r="H36" i="11"/>
  <c r="K35" i="11"/>
  <c r="J35" i="11"/>
  <c r="H35" i="11"/>
  <c r="K34" i="11"/>
  <c r="J34" i="11"/>
  <c r="H34" i="11"/>
  <c r="J33" i="11"/>
  <c r="H33" i="11"/>
  <c r="I29" i="11"/>
  <c r="K27" i="11"/>
  <c r="H27" i="11"/>
  <c r="K26" i="11"/>
  <c r="J26" i="11"/>
  <c r="H26" i="11"/>
  <c r="K25" i="11"/>
  <c r="J25" i="11"/>
  <c r="H25" i="11"/>
  <c r="K24" i="11"/>
  <c r="J24" i="11"/>
  <c r="H24" i="11"/>
  <c r="J23" i="11"/>
  <c r="H23" i="11"/>
  <c r="I86" i="3"/>
  <c r="K84" i="3"/>
  <c r="H84" i="3"/>
  <c r="K83" i="3"/>
  <c r="J83" i="3"/>
  <c r="H83" i="3"/>
  <c r="K82" i="3"/>
  <c r="J82" i="3"/>
  <c r="H82" i="3"/>
  <c r="K81" i="3"/>
  <c r="J81" i="3"/>
  <c r="H81" i="3"/>
  <c r="J80" i="3"/>
  <c r="J86" i="3" s="1"/>
  <c r="H80" i="3"/>
  <c r="H86" i="3" s="1"/>
  <c r="I76" i="3"/>
  <c r="K74" i="3"/>
  <c r="H74" i="3"/>
  <c r="K73" i="3"/>
  <c r="J73" i="3"/>
  <c r="H73" i="3"/>
  <c r="K72" i="3"/>
  <c r="J72" i="3"/>
  <c r="H72" i="3"/>
  <c r="K71" i="3"/>
  <c r="J71" i="3"/>
  <c r="H71" i="3"/>
  <c r="J70" i="3"/>
  <c r="J76" i="3" s="1"/>
  <c r="H70" i="3"/>
  <c r="I66" i="3"/>
  <c r="K64" i="3"/>
  <c r="H64" i="3"/>
  <c r="K63" i="3"/>
  <c r="J63" i="3"/>
  <c r="H63" i="3"/>
  <c r="K62" i="3"/>
  <c r="J62" i="3"/>
  <c r="H62" i="3"/>
  <c r="K61" i="3"/>
  <c r="K66" i="3" s="1"/>
  <c r="J61" i="3"/>
  <c r="H61" i="3"/>
  <c r="J60" i="3"/>
  <c r="J66" i="3" s="1"/>
  <c r="H60" i="3"/>
  <c r="F56" i="3"/>
  <c r="G53" i="3"/>
  <c r="H54" i="3"/>
  <c r="E55" i="3"/>
  <c r="H56" i="3"/>
  <c r="E54" i="3"/>
  <c r="E53" i="3"/>
  <c r="J4" i="9"/>
  <c r="J5" i="9"/>
  <c r="J6" i="9"/>
  <c r="J14" i="5"/>
  <c r="J19" i="5" s="1"/>
  <c r="J15" i="5"/>
  <c r="J16" i="5"/>
  <c r="J4" i="5"/>
  <c r="J9" i="5" s="1"/>
  <c r="J5" i="5"/>
  <c r="J6" i="5"/>
  <c r="J14" i="7"/>
  <c r="J19" i="7" s="1"/>
  <c r="J15" i="7"/>
  <c r="J16" i="7"/>
  <c r="J4" i="7"/>
  <c r="J9" i="7" s="1"/>
  <c r="J5" i="7"/>
  <c r="J6" i="7"/>
  <c r="J4" i="3"/>
  <c r="J5" i="3"/>
  <c r="J6" i="3"/>
  <c r="J9" i="3" s="1"/>
  <c r="J54" i="1"/>
  <c r="J55" i="1"/>
  <c r="J56" i="1"/>
  <c r="J44" i="1"/>
  <c r="J45" i="1"/>
  <c r="J46" i="1"/>
  <c r="J34" i="1"/>
  <c r="J39" i="1" s="1"/>
  <c r="J35" i="1"/>
  <c r="J36" i="1"/>
  <c r="J24" i="1"/>
  <c r="J29" i="1" s="1"/>
  <c r="J25" i="1"/>
  <c r="J26" i="1"/>
  <c r="J14" i="1"/>
  <c r="J15" i="1"/>
  <c r="J19" i="1" s="1"/>
  <c r="J16" i="1"/>
  <c r="J4" i="1"/>
  <c r="J5" i="1"/>
  <c r="J9" i="1" s="1"/>
  <c r="J6" i="1"/>
  <c r="J44" i="3"/>
  <c r="J45" i="3"/>
  <c r="J46" i="3"/>
  <c r="J34" i="3"/>
  <c r="J35" i="3"/>
  <c r="J36" i="3"/>
  <c r="J24" i="3"/>
  <c r="J25" i="3"/>
  <c r="J26" i="3"/>
  <c r="J14" i="3"/>
  <c r="J15" i="3"/>
  <c r="J16" i="3"/>
  <c r="J43" i="3"/>
  <c r="I49" i="3"/>
  <c r="K47" i="3"/>
  <c r="H47" i="3"/>
  <c r="K46" i="3"/>
  <c r="H46" i="3"/>
  <c r="K45" i="3"/>
  <c r="H45" i="3"/>
  <c r="K44" i="3"/>
  <c r="H44" i="3"/>
  <c r="H43" i="3"/>
  <c r="H19" i="5"/>
  <c r="I19" i="5"/>
  <c r="K19" i="5"/>
  <c r="K45" i="1"/>
  <c r="K44" i="1"/>
  <c r="L58" i="1"/>
  <c r="L48" i="1"/>
  <c r="L38" i="1"/>
  <c r="L28" i="1"/>
  <c r="L18" i="1"/>
  <c r="L8" i="1"/>
  <c r="I9" i="9"/>
  <c r="J49" i="1"/>
  <c r="J59" i="1"/>
  <c r="J9" i="9"/>
  <c r="K57" i="1"/>
  <c r="K56" i="1"/>
  <c r="K55" i="1"/>
  <c r="K54" i="1"/>
  <c r="I19" i="7"/>
  <c r="I9" i="7"/>
  <c r="I9" i="5"/>
  <c r="I39" i="3"/>
  <c r="I29" i="3"/>
  <c r="I19" i="3"/>
  <c r="I9" i="3"/>
  <c r="I59" i="1"/>
  <c r="I49" i="1"/>
  <c r="I39" i="1"/>
  <c r="I29" i="1"/>
  <c r="I19" i="1"/>
  <c r="I9" i="1"/>
  <c r="H3" i="7"/>
  <c r="J3" i="7"/>
  <c r="H4" i="7"/>
  <c r="K4" i="7"/>
  <c r="H5" i="7"/>
  <c r="K5" i="7"/>
  <c r="H6" i="7"/>
  <c r="K6" i="7"/>
  <c r="H7" i="7"/>
  <c r="K7" i="7"/>
  <c r="H33" i="3"/>
  <c r="J33" i="3"/>
  <c r="H34" i="3"/>
  <c r="K34" i="3"/>
  <c r="H35" i="3"/>
  <c r="K35" i="3"/>
  <c r="H36" i="3"/>
  <c r="K36" i="3"/>
  <c r="H37" i="3"/>
  <c r="K37" i="3"/>
  <c r="K7" i="9"/>
  <c r="H7" i="9"/>
  <c r="K6" i="9"/>
  <c r="H6" i="9"/>
  <c r="K5" i="9"/>
  <c r="H5" i="9"/>
  <c r="K4" i="9"/>
  <c r="H4" i="9"/>
  <c r="J3" i="9"/>
  <c r="H3" i="9"/>
  <c r="K17" i="7"/>
  <c r="H17" i="7"/>
  <c r="K16" i="7"/>
  <c r="H16" i="7"/>
  <c r="K15" i="7"/>
  <c r="H15" i="7"/>
  <c r="K14" i="7"/>
  <c r="H14" i="7"/>
  <c r="J13" i="7"/>
  <c r="H13" i="7"/>
  <c r="K17" i="5"/>
  <c r="H17" i="5"/>
  <c r="K16" i="5"/>
  <c r="H16" i="5"/>
  <c r="K15" i="5"/>
  <c r="H15" i="5"/>
  <c r="K14" i="5"/>
  <c r="H14" i="5"/>
  <c r="J13" i="5"/>
  <c r="H13" i="5"/>
  <c r="K7" i="5"/>
  <c r="H7" i="5"/>
  <c r="K6" i="5"/>
  <c r="H6" i="5"/>
  <c r="K5" i="5"/>
  <c r="H5" i="5"/>
  <c r="K4" i="5"/>
  <c r="H4" i="5"/>
  <c r="J3" i="5"/>
  <c r="H3" i="5"/>
  <c r="K27" i="3"/>
  <c r="H27" i="3"/>
  <c r="K26" i="3"/>
  <c r="H26" i="3"/>
  <c r="K25" i="3"/>
  <c r="H25" i="3"/>
  <c r="K24" i="3"/>
  <c r="H24" i="3"/>
  <c r="J23" i="3"/>
  <c r="H23" i="3"/>
  <c r="K17" i="3"/>
  <c r="H17" i="3"/>
  <c r="K16" i="3"/>
  <c r="H16" i="3"/>
  <c r="K15" i="3"/>
  <c r="H15" i="3"/>
  <c r="K14" i="3"/>
  <c r="H14" i="3"/>
  <c r="J13" i="3"/>
  <c r="H13" i="3"/>
  <c r="K7" i="3"/>
  <c r="H7" i="3"/>
  <c r="K6" i="3"/>
  <c r="H6" i="3"/>
  <c r="K5" i="3"/>
  <c r="H5" i="3"/>
  <c r="K4" i="3"/>
  <c r="H4" i="3"/>
  <c r="J3" i="3"/>
  <c r="H3" i="3"/>
  <c r="H57" i="1"/>
  <c r="H56" i="1"/>
  <c r="H55" i="1"/>
  <c r="H54" i="1"/>
  <c r="J53" i="1"/>
  <c r="H53" i="1"/>
  <c r="K47" i="1"/>
  <c r="H47" i="1"/>
  <c r="K46" i="1"/>
  <c r="H46" i="1"/>
  <c r="H45" i="1"/>
  <c r="H44" i="1"/>
  <c r="J43" i="1"/>
  <c r="H43" i="1"/>
  <c r="K37" i="1"/>
  <c r="H37" i="1"/>
  <c r="K36" i="1"/>
  <c r="H36" i="1"/>
  <c r="K35" i="1"/>
  <c r="H35" i="1"/>
  <c r="K34" i="1"/>
  <c r="H34" i="1"/>
  <c r="J33" i="1"/>
  <c r="H33" i="1"/>
  <c r="K27" i="1"/>
  <c r="H27" i="1"/>
  <c r="K26" i="1"/>
  <c r="H26" i="1"/>
  <c r="K25" i="1"/>
  <c r="H25" i="1"/>
  <c r="K24" i="1"/>
  <c r="H24" i="1"/>
  <c r="J23" i="1"/>
  <c r="H23" i="1"/>
  <c r="K4" i="1"/>
  <c r="K5" i="1"/>
  <c r="K6" i="1"/>
  <c r="K7" i="1"/>
  <c r="H17" i="1"/>
  <c r="K17" i="1"/>
  <c r="H16" i="1"/>
  <c r="K16" i="1"/>
  <c r="H15" i="1"/>
  <c r="K15" i="1"/>
  <c r="H14" i="1"/>
  <c r="K14" i="1"/>
  <c r="J13" i="1"/>
  <c r="H13" i="1"/>
  <c r="J3" i="1"/>
  <c r="H5" i="1"/>
  <c r="H4" i="1"/>
  <c r="H6" i="1"/>
  <c r="H7" i="1"/>
  <c r="H3" i="1"/>
  <c r="K146" i="3" l="1"/>
  <c r="H146" i="3"/>
  <c r="H139" i="11"/>
  <c r="K139" i="11"/>
  <c r="H59" i="5"/>
  <c r="K59" i="5"/>
  <c r="K136" i="3"/>
  <c r="H116" i="3"/>
  <c r="J129" i="11"/>
  <c r="H129" i="11"/>
  <c r="K119" i="11"/>
  <c r="J119" i="11"/>
  <c r="J109" i="11"/>
  <c r="K109" i="11"/>
  <c r="H99" i="11"/>
  <c r="H106" i="3"/>
  <c r="K96" i="3"/>
  <c r="J89" i="11"/>
  <c r="H49" i="11"/>
  <c r="J59" i="11"/>
  <c r="J49" i="11"/>
  <c r="J39" i="11"/>
  <c r="K49" i="11"/>
  <c r="K39" i="11"/>
  <c r="K29" i="11"/>
  <c r="K19" i="11"/>
  <c r="J19" i="11"/>
  <c r="H19" i="11"/>
  <c r="H79" i="11"/>
  <c r="J79" i="11"/>
  <c r="K79" i="11"/>
  <c r="K69" i="11"/>
  <c r="J69" i="11"/>
  <c r="K59" i="11"/>
  <c r="H59" i="11"/>
  <c r="H69" i="11"/>
  <c r="H39" i="11"/>
  <c r="J29" i="11"/>
  <c r="H29" i="11"/>
  <c r="K86" i="3"/>
  <c r="K76" i="3"/>
  <c r="H76" i="3"/>
  <c r="H66" i="3"/>
  <c r="J29" i="3"/>
  <c r="J39" i="3"/>
  <c r="G56" i="3"/>
  <c r="J19" i="3"/>
  <c r="E56" i="3"/>
  <c r="J49" i="3"/>
  <c r="K49" i="3"/>
  <c r="H49" i="3"/>
  <c r="H9" i="9"/>
  <c r="K9" i="7"/>
  <c r="K9" i="1"/>
  <c r="K59" i="1"/>
  <c r="K49" i="1"/>
  <c r="K39" i="1"/>
  <c r="K29" i="1"/>
  <c r="H19" i="7"/>
  <c r="H9" i="7"/>
  <c r="K9" i="9"/>
  <c r="K19" i="7"/>
  <c r="K9" i="5"/>
  <c r="H9" i="5"/>
  <c r="K29" i="3"/>
  <c r="H29" i="3"/>
  <c r="K19" i="3"/>
  <c r="H9" i="3"/>
  <c r="K9" i="3"/>
  <c r="H39" i="3"/>
  <c r="H19" i="3"/>
  <c r="K39" i="3"/>
  <c r="H59" i="1"/>
  <c r="H49" i="1"/>
  <c r="H39" i="1"/>
  <c r="H29" i="1"/>
  <c r="H19" i="1"/>
  <c r="K19" i="1"/>
  <c r="H9" i="1"/>
</calcChain>
</file>

<file path=xl/sharedStrings.xml><?xml version="1.0" encoding="utf-8"?>
<sst xmlns="http://schemas.openxmlformats.org/spreadsheetml/2006/main" count="1017" uniqueCount="97">
  <si>
    <t>Pretrained</t>
  </si>
  <si>
    <t>aeropath (Retention)</t>
  </si>
  <si>
    <t>Task-Incremental LoRA (rank=8, Task Order=Original)</t>
  </si>
  <si>
    <t>Task-Incremental LoRA (rank=16, Task Order=Original)</t>
  </si>
  <si>
    <t>Transfer</t>
  </si>
  <si>
    <t>Average</t>
  </si>
  <si>
    <t>Retention Drop</t>
  </si>
  <si>
    <t>Task-Incremental LoRA (rank=32, Task Order=Original)</t>
  </si>
  <si>
    <t>Task-Incremental LoRA (rank=64, Task Order=Original)</t>
  </si>
  <si>
    <t>Task-Incremental LoRA (rank=128, Task Order=Original)</t>
  </si>
  <si>
    <t>Task-Incremental LoRA (rank=8, Task Order=Reversed)</t>
  </si>
  <si>
    <t>Class-Incremental LoRA (rank=16, Task Order=Original)</t>
  </si>
  <si>
    <t>Class-Incremental LoRA (rank=32, Task Order=Original)</t>
  </si>
  <si>
    <t>Class-Incremental LoRA (rank=64, Task Order=Original)</t>
  </si>
  <si>
    <t>Class-Incremental LoRA (rank=128, Task Order=Original)</t>
  </si>
  <si>
    <t>Naïve Fine-tuning (Task Order=Original)</t>
  </si>
  <si>
    <t>Naïve Fine-tuning (Task Order=Reversed)</t>
  </si>
  <si>
    <t>Prompt-based CL (Task Order=Original)</t>
  </si>
  <si>
    <t>Prompt-based CL (Task Order=Reversed)</t>
  </si>
  <si>
    <t>Regularisation-based CL (Task Order=Original)</t>
  </si>
  <si>
    <t>Average Performance</t>
  </si>
  <si>
    <t>Final Forgetting</t>
  </si>
  <si>
    <t>Lateral Tibial</t>
  </si>
  <si>
    <t>Medial Tibial</t>
  </si>
  <si>
    <t>Femoral</t>
  </si>
  <si>
    <t>Patellar</t>
  </si>
  <si>
    <t>Medial Meniscus</t>
  </si>
  <si>
    <t>Medial Mensicus</t>
  </si>
  <si>
    <t>Final Performance</t>
  </si>
  <si>
    <t>Final Retention Drop</t>
  </si>
  <si>
    <t>Method</t>
  </si>
  <si>
    <t>Hyperparameter</t>
  </si>
  <si>
    <t>Task Order</t>
  </si>
  <si>
    <t>TIL-LoRA</t>
  </si>
  <si>
    <t>r=8</t>
  </si>
  <si>
    <t>Original</t>
  </si>
  <si>
    <t>r=16</t>
  </si>
  <si>
    <t>r=32</t>
  </si>
  <si>
    <t>r=64</t>
  </si>
  <si>
    <t>r=128</t>
  </si>
  <si>
    <t>Reverse</t>
  </si>
  <si>
    <t>CIL-LoRA</t>
  </si>
  <si>
    <t>…. -&gt; Medial Meniscus -&gt; Patellar</t>
  </si>
  <si>
    <t xml:space="preserve">Pretrained -&gt; Patellar -&gt; Medial Meniscus </t>
  </si>
  <si>
    <t>…. -&gt; lateral Meniscus -&gt; Medial Meniscus</t>
  </si>
  <si>
    <t xml:space="preserve">…. -&gt; Patellar -&gt; Lateral Meniscus </t>
  </si>
  <si>
    <t>Prompt-based</t>
  </si>
  <si>
    <t>Prompt tokens = 4, Prompt layers = 3</t>
  </si>
  <si>
    <t>Prompt tokens = 4, Prompt layers = 4</t>
  </si>
  <si>
    <t>Fine-Tuning</t>
  </si>
  <si>
    <t>-</t>
  </si>
  <si>
    <t>Regularisaton-based</t>
  </si>
  <si>
    <t>distillation weight = 0.1</t>
  </si>
  <si>
    <t>Class-Incremental LoRA (rank=128, Task Order=Reverse)</t>
  </si>
  <si>
    <t>Class-Incremental LoRA (rank=128, Task Order=Custom)</t>
  </si>
  <si>
    <t>Lateral Meniscus</t>
  </si>
  <si>
    <t>r=4</t>
  </si>
  <si>
    <t>r=128, replay _fraction=0.1</t>
  </si>
  <si>
    <t>Task-Incremental LoRA (rank=4, Task Order=Original)</t>
  </si>
  <si>
    <t>Task-Incremental LoRA (rank=2, Task Order=Original)</t>
  </si>
  <si>
    <t>Task-Incremental LoRA (rank=4, Task Order=Reversed)</t>
  </si>
  <si>
    <t>r=2</t>
  </si>
  <si>
    <t>Final Average Performance</t>
  </si>
  <si>
    <t>LoRA Rank</t>
  </si>
  <si>
    <t>Relative Frobenius Norm of LoRA Weights</t>
  </si>
  <si>
    <t>Task Transition</t>
  </si>
  <si>
    <t>Lateral Tibial -&gt; Medial Tibial</t>
  </si>
  <si>
    <t>Medial Tibial -&gt; Femoral</t>
  </si>
  <si>
    <t>Femoral -&gt; Patellar</t>
  </si>
  <si>
    <t>Patellar -&gt; Medial Meniscus</t>
  </si>
  <si>
    <t>Medial Meniscus -&gt; Patellar</t>
  </si>
  <si>
    <t>Patellar -&gt; Femoral</t>
  </si>
  <si>
    <t>Femoral -&gt; Medial Tibial</t>
  </si>
  <si>
    <t>Medial Tibial -&gt; Lateral Tibial</t>
  </si>
  <si>
    <t>Class-Incremental LoRA (rank=128, Task Order=Reverse, replay_fraction=0.1)</t>
  </si>
  <si>
    <t>FT Forgetting</t>
  </si>
  <si>
    <t>FT Final Avg. performance</t>
  </si>
  <si>
    <t>CIL-LoRA + Replay</t>
  </si>
  <si>
    <t xml:space="preserve">Method </t>
  </si>
  <si>
    <t>Regularisation-based</t>
  </si>
  <si>
    <t>Task-Incremental LoRA (rank=2, Task Order=Reversed)</t>
  </si>
  <si>
    <t>Training Samples</t>
  </si>
  <si>
    <t>Naïve Fine-tuning (Task Order=Original, Training Samples = 5)</t>
  </si>
  <si>
    <t>Naïve Fine-tuning (Task Order=Original, Training Samples = 10)</t>
  </si>
  <si>
    <t>Naïve Fine-tuning (Task Order=Original, Training Samples = 20)</t>
  </si>
  <si>
    <t>Task-Incremental LoRA (rank=4, Task Order=Original, Training samples = 5)</t>
  </si>
  <si>
    <t>Task-Incremental LoRA (rank=4, Task Order=Original, Training samples = 10)</t>
  </si>
  <si>
    <t>Task-Incremental LoRA (rank=4, Task Order=Original, Training samples = 20)</t>
  </si>
  <si>
    <t>Class-Incremental LoRA (rank=128,Task Order=Original, replay_fraction=0.1)</t>
  </si>
  <si>
    <t>Class-Incremental LoRA (rank=128,Task Order=Original, replay_fraction=0.1, Training samples = 5)</t>
  </si>
  <si>
    <t>Class-Incremental LoRA (rank=128,Task Order=Original, replay_fraction=0.1, Training samples = 10)</t>
  </si>
  <si>
    <t>Class-Incremental LoRA (rank=128,Task Order=Original, replay_fraction=0.1, Training samples = 20)</t>
  </si>
  <si>
    <t>Relative Retention Drop</t>
  </si>
  <si>
    <t>Samples</t>
  </si>
  <si>
    <t>Naïve Fine-tuning (Task Order=Original, Training Samples = 50)</t>
  </si>
  <si>
    <t>Task-Incremental LoRA (rank=4, Task Order=Original, Training samples = 50)</t>
  </si>
  <si>
    <t>Class-Incremental LoRA (rank=128,Task Order=Original, replay_fraction=0.1, Training samples =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</si>
</sst>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0" fillId="4" borderId="0" xfId="0" applyNumberFormat="1" applyFill="1"/>
    <xf numFmtId="164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0" fontId="0" fillId="6" borderId="4" xfId="0" applyFill="1" applyBorder="1"/>
    <xf numFmtId="0" fontId="0" fillId="6" borderId="4" xfId="0" applyFill="1" applyBorder="1" applyAlignment="1">
      <alignment wrapText="1"/>
    </xf>
    <xf numFmtId="164" fontId="0" fillId="6" borderId="4" xfId="0" applyNumberFormat="1" applyFill="1" applyBorder="1"/>
    <xf numFmtId="0" fontId="0" fillId="6" borderId="0" xfId="0" applyFill="1"/>
    <xf numFmtId="0" fontId="0" fillId="6" borderId="0" xfId="0" applyFill="1" applyAlignment="1">
      <alignment wrapText="1"/>
    </xf>
    <xf numFmtId="164" fontId="0" fillId="6" borderId="0" xfId="0" applyNumberFormat="1" applyFill="1"/>
    <xf numFmtId="0" fontId="0" fillId="6" borderId="1" xfId="0" applyFill="1" applyBorder="1"/>
    <xf numFmtId="0" fontId="0" fillId="6" borderId="1" xfId="0" applyFill="1" applyBorder="1" applyAlignment="1">
      <alignment wrapText="1"/>
    </xf>
    <xf numFmtId="164" fontId="0" fillId="6" borderId="1" xfId="0" applyNumberFormat="1" applyFill="1" applyBorder="1"/>
    <xf numFmtId="0" fontId="0" fillId="7" borderId="4" xfId="0" applyFill="1" applyBorder="1"/>
    <xf numFmtId="0" fontId="0" fillId="7" borderId="4" xfId="0" applyFill="1" applyBorder="1" applyAlignment="1">
      <alignment wrapText="1"/>
    </xf>
    <xf numFmtId="164" fontId="0" fillId="7" borderId="4" xfId="0" applyNumberFormat="1" applyFill="1" applyBorder="1"/>
    <xf numFmtId="0" fontId="0" fillId="7" borderId="0" xfId="0" applyFill="1"/>
    <xf numFmtId="0" fontId="0" fillId="7" borderId="0" xfId="0" applyFill="1" applyAlignment="1">
      <alignment wrapText="1"/>
    </xf>
    <xf numFmtId="164" fontId="0" fillId="7" borderId="0" xfId="0" applyNumberFormat="1" applyFill="1"/>
    <xf numFmtId="164" fontId="0" fillId="7" borderId="0" xfId="0" applyNumberFormat="1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164" fontId="0" fillId="7" borderId="1" xfId="0" applyNumberFormat="1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164" fontId="0" fillId="3" borderId="1" xfId="0" applyNumberFormat="1" applyFill="1" applyBorder="1"/>
    <xf numFmtId="0" fontId="0" fillId="8" borderId="3" xfId="0" applyFill="1" applyBorder="1" applyAlignment="1">
      <alignment wrapText="1"/>
    </xf>
    <xf numFmtId="164" fontId="0" fillId="8" borderId="3" xfId="0" applyNumberFormat="1" applyFill="1" applyBorder="1"/>
    <xf numFmtId="164" fontId="1" fillId="7" borderId="1" xfId="0" applyNumberFormat="1" applyFont="1" applyFill="1" applyBorder="1"/>
    <xf numFmtId="0" fontId="0" fillId="3" borderId="3" xfId="0" applyFill="1" applyBorder="1"/>
    <xf numFmtId="0" fontId="0" fillId="3" borderId="3" xfId="0" applyFill="1" applyBorder="1" applyAlignment="1">
      <alignment wrapText="1"/>
    </xf>
    <xf numFmtId="164" fontId="0" fillId="3" borderId="3" xfId="0" applyNumberFormat="1" applyFill="1" applyBorder="1"/>
    <xf numFmtId="0" fontId="0" fillId="5" borderId="3" xfId="0" applyFill="1" applyBorder="1" applyAlignment="1">
      <alignment wrapText="1"/>
    </xf>
    <xf numFmtId="164" fontId="1" fillId="5" borderId="3" xfId="0" applyNumberFormat="1" applyFont="1" applyFill="1" applyBorder="1" applyAlignment="1">
      <alignment wrapText="1"/>
    </xf>
    <xf numFmtId="164" fontId="0" fillId="4" borderId="0" xfId="0" applyNumberFormat="1" applyFill="1" applyAlignment="1">
      <alignment wrapText="1"/>
    </xf>
    <xf numFmtId="164" fontId="0" fillId="5" borderId="0" xfId="0" applyNumberFormat="1" applyFill="1" applyAlignment="1">
      <alignment wrapText="1"/>
    </xf>
    <xf numFmtId="164" fontId="0" fillId="6" borderId="1" xfId="0" applyNumberFormat="1" applyFill="1" applyBorder="1" applyAlignment="1">
      <alignment horizontal="right"/>
    </xf>
    <xf numFmtId="164" fontId="0" fillId="6" borderId="4" xfId="0" applyNumberFormat="1" applyFill="1" applyBorder="1" applyAlignment="1">
      <alignment horizontal="right"/>
    </xf>
    <xf numFmtId="0" fontId="0" fillId="5" borderId="0" xfId="0" applyFill="1" applyAlignment="1">
      <alignment wrapText="1"/>
    </xf>
    <xf numFmtId="164" fontId="0" fillId="6" borderId="0" xfId="0" applyNumberFormat="1" applyFill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/>
    <xf numFmtId="164" fontId="1" fillId="6" borderId="4" xfId="0" applyNumberFormat="1" applyFont="1" applyFill="1" applyBorder="1" applyAlignment="1">
      <alignment horizontal="right"/>
    </xf>
    <xf numFmtId="164" fontId="1" fillId="6" borderId="0" xfId="0" applyNumberFormat="1" applyFont="1" applyFill="1"/>
    <xf numFmtId="164" fontId="1" fillId="5" borderId="0" xfId="0" applyNumberFormat="1" applyFont="1" applyFill="1" applyAlignment="1">
      <alignment wrapText="1"/>
    </xf>
    <xf numFmtId="0" fontId="0" fillId="5" borderId="1" xfId="0" applyFill="1" applyBorder="1" applyAlignment="1">
      <alignment wrapText="1"/>
    </xf>
    <xf numFmtId="164" fontId="0" fillId="5" borderId="1" xfId="0" applyNumberFormat="1" applyFill="1" applyBorder="1" applyAlignment="1">
      <alignment wrapText="1"/>
    </xf>
    <xf numFmtId="164" fontId="1" fillId="7" borderId="0" xfId="0" applyNumberFormat="1" applyFont="1" applyFill="1"/>
    <xf numFmtId="164" fontId="0" fillId="7" borderId="1" xfId="0" applyNumberFormat="1" applyFill="1" applyBorder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220"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Effect of LoRA Rank on TIL-LoRA Metrics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Dashboard!$G$1</c:f>
              <c:strCache>
                <c:ptCount val="1"/>
                <c:pt idx="0">
                  <c:v>Final Average 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Dashboard!$C$14:$C$18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Dashboard!$G$14:$G$18</c:f>
              <c:numCache>
                <c:formatCode>0.000</c:formatCode>
                <c:ptCount val="5"/>
                <c:pt idx="0">
                  <c:v>0.65856486807266823</c:v>
                </c:pt>
                <c:pt idx="1">
                  <c:v>0.59311688964565534</c:v>
                </c:pt>
                <c:pt idx="2">
                  <c:v>0.53074006835813581</c:v>
                </c:pt>
                <c:pt idx="3">
                  <c:v>0.45528703003074023</c:v>
                </c:pt>
                <c:pt idx="4">
                  <c:v>0.42413065644347309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A5-4919-B2CA-1B92FF82CB77}"/>
            </c:ext>
          </c:extLst>
        </c:ser>
        <c:ser>
          <c:idx val="1"/>
          <c:order val="1"/>
          <c:tx>
            <c:strRef>
              <c:f>Dashboard!$H$1</c:f>
              <c:strCache>
                <c:ptCount val="1"/>
                <c:pt idx="0">
                  <c:v>Final Forgetting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Dashboard!$C$14:$C$18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Dashboard!$H$14:$H$18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5-4919-B2CA-1B92FF82CB77}"/>
            </c:ext>
          </c:extLst>
        </c:ser>
        <c:ser>
          <c:idx val="2"/>
          <c:order val="2"/>
          <c:tx>
            <c:strRef>
              <c:f>Dashboard!$I$1</c:f>
              <c:strCache>
                <c:ptCount val="1"/>
                <c:pt idx="0">
                  <c:v>Transfer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Dashboard!$C$14:$C$18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Dashboard!$I$14:$I$18</c:f>
              <c:numCache>
                <c:formatCode>0.000</c:formatCode>
                <c:ptCount val="5"/>
                <c:pt idx="0">
                  <c:v>0.2078116987036964</c:v>
                </c:pt>
                <c:pt idx="1">
                  <c:v>0.20949369836575366</c:v>
                </c:pt>
                <c:pt idx="2">
                  <c:v>0.2085876304408851</c:v>
                </c:pt>
                <c:pt idx="3">
                  <c:v>0.18779982602306192</c:v>
                </c:pt>
                <c:pt idx="4">
                  <c:v>0.18034677244964473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A5-4919-B2CA-1B92FF82CB77}"/>
            </c:ext>
          </c:extLst>
        </c:ser>
        <c:ser>
          <c:idx val="3"/>
          <c:order val="3"/>
          <c:tx>
            <c:strRef>
              <c:f>Dashboard!$J$1</c:f>
              <c:strCache>
                <c:ptCount val="1"/>
                <c:pt idx="0">
                  <c:v>Relative Retention Drop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Dashboard!$C$14:$C$18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Dashboard!$J$14:$J$18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A5-4919-B2CA-1B92FF82CB77}"/>
            </c:ext>
          </c:extLst>
        </c:ser>
        <c:ser>
          <c:idx val="4"/>
          <c:order val="4"/>
          <c:tx>
            <c:strRef>
              <c:f>Dashboard!$K$1</c:f>
              <c:strCache>
                <c:ptCount val="1"/>
                <c:pt idx="0">
                  <c:v>FT Final Avg. 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Dashboard!$C$14:$C$18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Dashboard!$K$14:$K$18</c:f>
              <c:numCache>
                <c:formatCode>0.000</c:formatCode>
                <c:ptCount val="5"/>
                <c:pt idx="0">
                  <c:v>0.13041320790710714</c:v>
                </c:pt>
                <c:pt idx="1">
                  <c:v>0.13041320790710714</c:v>
                </c:pt>
                <c:pt idx="2">
                  <c:v>0.13041320790710714</c:v>
                </c:pt>
                <c:pt idx="3">
                  <c:v>0.13041320790710714</c:v>
                </c:pt>
                <c:pt idx="4">
                  <c:v>0.13041320790710714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7-4A65-9538-2E1DEA41A36E}"/>
            </c:ext>
          </c:extLst>
        </c:ser>
        <c:ser>
          <c:idx val="5"/>
          <c:order val="5"/>
          <c:tx>
            <c:strRef>
              <c:f>Dashboard!$L$1</c:f>
              <c:strCache>
                <c:ptCount val="1"/>
                <c:pt idx="0">
                  <c:v>FT Forgetting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Dashboard!$C$14:$C$18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Dashboard!$L$14:$L$18</c:f>
              <c:numCache>
                <c:formatCode>0.000</c:formatCode>
                <c:ptCount val="5"/>
                <c:pt idx="0">
                  <c:v>0.81221432456296339</c:v>
                </c:pt>
                <c:pt idx="1">
                  <c:v>0.81221432456296339</c:v>
                </c:pt>
                <c:pt idx="2">
                  <c:v>0.81221432456296339</c:v>
                </c:pt>
                <c:pt idx="3">
                  <c:v>0.81221432456296339</c:v>
                </c:pt>
                <c:pt idx="4">
                  <c:v>0.81221432456296339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7-4A65-9538-2E1DEA41A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hiLowLines>
        <c:marker val="1"/>
        <c:smooth val="0"/>
        <c:axId val="1094622272"/>
        <c:axId val="978258416"/>
      </c:lineChart>
      <c:catAx>
        <c:axId val="109462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LoRA 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258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7825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 Metric Value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62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Effect of Replay Buffer on CIL-LoRA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Dashboard!$A$66</c:f>
              <c:strCache>
                <c:ptCount val="1"/>
                <c:pt idx="0">
                  <c:v>CIL-LoRA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Dashboard!$C$65:$F$65</c:f>
              <c:strCache>
                <c:ptCount val="4"/>
                <c:pt idx="0">
                  <c:v>Final Average Performance</c:v>
                </c:pt>
                <c:pt idx="1">
                  <c:v>Final Forgetting</c:v>
                </c:pt>
                <c:pt idx="2">
                  <c:v>Transfer</c:v>
                </c:pt>
                <c:pt idx="3">
                  <c:v>Retention Drop</c:v>
                </c:pt>
              </c:strCache>
            </c:strRef>
          </c:cat>
          <c:val>
            <c:numRef>
              <c:f>Dashboard!$C$66:$F$66</c:f>
              <c:numCache>
                <c:formatCode>0.000</c:formatCode>
                <c:ptCount val="4"/>
                <c:pt idx="0">
                  <c:v>0</c:v>
                </c:pt>
                <c:pt idx="1">
                  <c:v>0.67012428569917826</c:v>
                </c:pt>
                <c:pt idx="2">
                  <c:v>0.20162295673244032</c:v>
                </c:pt>
                <c:pt idx="3">
                  <c:v>0.97939328849315599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6-4824-8F4D-E75DB09DCFE8}"/>
            </c:ext>
          </c:extLst>
        </c:ser>
        <c:ser>
          <c:idx val="1"/>
          <c:order val="1"/>
          <c:tx>
            <c:strRef>
              <c:f>Dashboard!$A$67</c:f>
              <c:strCache>
                <c:ptCount val="1"/>
                <c:pt idx="0">
                  <c:v>CIL-LoRA + Replay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Dashboard!$C$65:$F$65</c:f>
              <c:strCache>
                <c:ptCount val="4"/>
                <c:pt idx="0">
                  <c:v>Final Average Performance</c:v>
                </c:pt>
                <c:pt idx="1">
                  <c:v>Final Forgetting</c:v>
                </c:pt>
                <c:pt idx="2">
                  <c:v>Transfer</c:v>
                </c:pt>
                <c:pt idx="3">
                  <c:v>Retention Drop</c:v>
                </c:pt>
              </c:strCache>
            </c:strRef>
          </c:cat>
          <c:val>
            <c:numRef>
              <c:f>Dashboard!$C$67:$F$67</c:f>
              <c:numCache>
                <c:formatCode>0.000</c:formatCode>
                <c:ptCount val="4"/>
                <c:pt idx="0">
                  <c:v>0.35306040356711754</c:v>
                </c:pt>
                <c:pt idx="1">
                  <c:v>0.36275102232078404</c:v>
                </c:pt>
                <c:pt idx="2">
                  <c:v>0.12887594358852156</c:v>
                </c:pt>
                <c:pt idx="3">
                  <c:v>0.5452567981080112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06-4824-8F4D-E75DB09DC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084415"/>
        <c:axId val="953774159"/>
      </c:barChart>
      <c:catAx>
        <c:axId val="92608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774159"/>
        <c:crosses val="autoZero"/>
        <c:auto val="1"/>
        <c:lblAlgn val="ctr"/>
        <c:lblOffset val="100"/>
        <c:noMultiLvlLbl val="0"/>
      </c:catAx>
      <c:valAx>
        <c:axId val="95377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8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Performance-Forgetting Trade-off Across Continual Learning Methods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1A2-453A-99C5-E47B96A06978}"/>
              </c:ext>
            </c:extLst>
          </c:dPt>
          <c:dLbls>
            <c:dLbl>
              <c:idx val="0"/>
              <c:layout>
                <c:manualLayout>
                  <c:x val="-1.1166666666666667E-2"/>
                  <c:y val="1.6238334791484354E-2"/>
                </c:manualLayout>
              </c:layout>
              <c:tx>
                <c:rich>
                  <a:bodyPr/>
                  <a:lstStyle/>
                  <a:p>
                    <a:fld id="{0F9A5AA7-351B-4DEB-9E87-692B14A122C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1A2-453A-99C5-E47B96A069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0FBF070-BACB-439F-8233-DBB0D0C4B4F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1A2-453A-99C5-E47B96A06978}"/>
                </c:ext>
              </c:extLst>
            </c:dLbl>
            <c:dLbl>
              <c:idx val="2"/>
              <c:layout>
                <c:manualLayout>
                  <c:x val="-1.5604330708661417E-2"/>
                  <c:y val="-5.320610965296009E-2"/>
                </c:manualLayout>
              </c:layout>
              <c:tx>
                <c:rich>
                  <a:bodyPr/>
                  <a:lstStyle/>
                  <a:p>
                    <a:fld id="{46B5B71F-D889-45A2-A78F-F366A368185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1A2-453A-99C5-E47B96A069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E7C7C89-3824-41A4-8387-D31460D74C0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1A2-453A-99C5-E47B96A06978}"/>
                </c:ext>
              </c:extLst>
            </c:dLbl>
            <c:dLbl>
              <c:idx val="4"/>
              <c:layout>
                <c:manualLayout>
                  <c:x val="-9.5826552930883643E-2"/>
                  <c:y val="4.4016112569262134E-2"/>
                </c:manualLayout>
              </c:layout>
              <c:tx>
                <c:rich>
                  <a:bodyPr/>
                  <a:lstStyle/>
                  <a:p>
                    <a:fld id="{52E68362-4402-4DAA-BA98-0FEE09A089E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1A2-453A-99C5-E47B96A06978}"/>
                </c:ext>
              </c:extLst>
            </c:dLbl>
            <c:dLbl>
              <c:idx val="5"/>
              <c:layout>
                <c:manualLayout>
                  <c:x val="-9.5902887139107607E-2"/>
                  <c:y val="-5.085648148148146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EE50F0-3877-485E-9635-7829F3FF482D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680555555555557"/>
                      <c:h val="8.782407407407406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1A2-453A-99C5-E47B96A069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Dashboard!$D$72:$D$77</c:f>
              <c:numCache>
                <c:formatCode>0.000</c:formatCode>
                <c:ptCount val="6"/>
                <c:pt idx="0">
                  <c:v>0.13041320790710714</c:v>
                </c:pt>
                <c:pt idx="1">
                  <c:v>0.42413065644347309</c:v>
                </c:pt>
                <c:pt idx="2">
                  <c:v>0</c:v>
                </c:pt>
                <c:pt idx="3">
                  <c:v>0.35306040356711754</c:v>
                </c:pt>
                <c:pt idx="4">
                  <c:v>0.11472533125867505</c:v>
                </c:pt>
                <c:pt idx="5">
                  <c:v>0.109952311488223</c:v>
                </c:pt>
              </c:numCache>
            </c:numRef>
          </c:xVal>
          <c:yVal>
            <c:numRef>
              <c:f>Dashboard!$C$72:$C$77</c:f>
              <c:numCache>
                <c:formatCode>0.000</c:formatCode>
                <c:ptCount val="6"/>
                <c:pt idx="0">
                  <c:v>0.81221432456296339</c:v>
                </c:pt>
                <c:pt idx="1">
                  <c:v>0</c:v>
                </c:pt>
                <c:pt idx="2">
                  <c:v>0.67012428569917826</c:v>
                </c:pt>
                <c:pt idx="3">
                  <c:v>0.36275102232078404</c:v>
                </c:pt>
                <c:pt idx="4">
                  <c:v>0.75303917993865788</c:v>
                </c:pt>
                <c:pt idx="5">
                  <c:v>0.83673433770458827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Dashboard!$A$72:$A$77</c15:f>
                <c15:dlblRangeCache>
                  <c:ptCount val="6"/>
                  <c:pt idx="0">
                    <c:v>Fine-Tuning</c:v>
                  </c:pt>
                  <c:pt idx="1">
                    <c:v>TIL-LoRA</c:v>
                  </c:pt>
                  <c:pt idx="2">
                    <c:v>CIL-LoRA</c:v>
                  </c:pt>
                  <c:pt idx="3">
                    <c:v>CIL-LoRA + Replay</c:v>
                  </c:pt>
                  <c:pt idx="4">
                    <c:v>Prompt-based</c:v>
                  </c:pt>
                  <c:pt idx="5">
                    <c:v>Regularisation-based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1A2-453A-99C5-E47B96A06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035519"/>
        <c:axId val="953906639"/>
      </c:scatterChart>
      <c:valAx>
        <c:axId val="97003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Final</a:t>
                </a:r>
                <a:r>
                  <a:rPr lang="en-IN" baseline="0"/>
                  <a:t> Average Performance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906639"/>
        <c:crosses val="autoZero"/>
        <c:crossBetween val="midCat"/>
      </c:valAx>
      <c:valAx>
        <c:axId val="95390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Forgetting (lower is better)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3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Final Average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'Few-shot Analysis'!$B$19</c:f>
              <c:strCache>
                <c:ptCount val="1"/>
                <c:pt idx="0">
                  <c:v>Fine-Tuning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'Few-shot Analysis'!$A$20:$A$24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108</c:v>
                </c:pt>
              </c:numCache>
            </c:numRef>
          </c:xVal>
          <c:yVal>
            <c:numRef>
              <c:f>'Few-shot Analysis'!$B$20:$B$24</c:f>
              <c:numCache>
                <c:formatCode>0.000</c:formatCode>
                <c:ptCount val="5"/>
                <c:pt idx="0">
                  <c:v>1.3025533130761597E-5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0.13041320790710714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7A-4E30-87B0-509D36FB7473}"/>
            </c:ext>
          </c:extLst>
        </c:ser>
        <c:ser>
          <c:idx val="1"/>
          <c:order val="1"/>
          <c:tx>
            <c:strRef>
              <c:f>'Few-shot Analysis'!$C$19</c:f>
              <c:strCache>
                <c:ptCount val="1"/>
                <c:pt idx="0">
                  <c:v>TIL-LoRA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'Few-shot Analysis'!$A$20:$A$24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108</c:v>
                </c:pt>
              </c:numCache>
            </c:numRef>
          </c:xVal>
          <c:yVal>
            <c:numRef>
              <c:f>'Few-shot Analysis'!$C$20:$C$24</c:f>
              <c:numCache>
                <c:formatCode>0.000</c:formatCode>
                <c:ptCount val="5"/>
                <c:pt idx="0">
                  <c:v>0.33153970763087259</c:v>
                </c:pt>
                <c:pt idx="1">
                  <c:v>0.33679310753941516</c:v>
                </c:pt>
                <c:pt idx="2">
                  <c:v>0.33764468819778493</c:v>
                </c:pt>
                <c:pt idx="3">
                  <c:v>0.44481618204542084</c:v>
                </c:pt>
                <c:pt idx="4">
                  <c:v>0.70172176038225409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7A-4E30-87B0-509D36FB7473}"/>
            </c:ext>
          </c:extLst>
        </c:ser>
        <c:ser>
          <c:idx val="2"/>
          <c:order val="2"/>
          <c:tx>
            <c:strRef>
              <c:f>'Few-shot Analysis'!$D$19</c:f>
              <c:strCache>
                <c:ptCount val="1"/>
                <c:pt idx="0">
                  <c:v>CIL-LoRA + Replay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'Few-shot Analysis'!$A$20:$A$24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108</c:v>
                </c:pt>
              </c:numCache>
            </c:numRef>
          </c:xVal>
          <c:yVal>
            <c:numRef>
              <c:f>'Few-shot Analysis'!$D$20:$D$24</c:f>
              <c:numCache>
                <c:formatCode>0.000</c:formatCode>
                <c:ptCount val="5"/>
                <c:pt idx="0">
                  <c:v>1.3040762123030919E-3</c:v>
                </c:pt>
                <c:pt idx="1">
                  <c:v>9.0138830794482087E-3</c:v>
                </c:pt>
                <c:pt idx="2">
                  <c:v>9.3502386789623051E-3</c:v>
                </c:pt>
                <c:pt idx="3">
                  <c:v>3.0241577272818083E-2</c:v>
                </c:pt>
                <c:pt idx="4">
                  <c:v>0.35306040356711754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7A-4E30-87B0-509D36FB7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712992"/>
        <c:axId val="327834960"/>
      </c:scatterChart>
      <c:valAx>
        <c:axId val="28471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34960"/>
        <c:crosses val="autoZero"/>
        <c:crossBetween val="midCat"/>
      </c:valAx>
      <c:valAx>
        <c:axId val="32783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1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Final Forgetting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'Few-shot Analysis'!$B$26</c:f>
              <c:strCache>
                <c:ptCount val="1"/>
                <c:pt idx="0">
                  <c:v>Fine-Tuning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'Few-shot Analysis'!$A$27:$A$31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108</c:v>
                </c:pt>
              </c:numCache>
            </c:numRef>
          </c:xVal>
          <c:yVal>
            <c:numRef>
              <c:f>'Few-shot Analysis'!$B$27:$B$31</c:f>
              <c:numCache>
                <c:formatCode>0.000</c:formatCode>
                <c:ptCount val="5"/>
                <c:pt idx="0">
                  <c:v>0.68765294755401618</c:v>
                </c:pt>
                <c:pt idx="1">
                  <c:v>0.75656230685611514</c:v>
                </c:pt>
                <c:pt idx="2">
                  <c:v>0.77451379255702046</c:v>
                </c:pt>
                <c:pt idx="3">
                  <c:v>0.66555190614114168</c:v>
                </c:pt>
                <c:pt idx="4">
                  <c:v>0.81221432456296339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A7-49C3-B1C3-156D8338063F}"/>
            </c:ext>
          </c:extLst>
        </c:ser>
        <c:ser>
          <c:idx val="1"/>
          <c:order val="1"/>
          <c:tx>
            <c:strRef>
              <c:f>'Few-shot Analysis'!$C$26</c:f>
              <c:strCache>
                <c:ptCount val="1"/>
                <c:pt idx="0">
                  <c:v>TIL-LoRA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'Few-shot Analysis'!$A$27:$A$31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108</c:v>
                </c:pt>
              </c:numCache>
            </c:numRef>
          </c:xVal>
          <c:yVal>
            <c:numRef>
              <c:f>'Few-shot Analysis'!$C$27:$C$31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A7-49C3-B1C3-156D8338063F}"/>
            </c:ext>
          </c:extLst>
        </c:ser>
        <c:ser>
          <c:idx val="2"/>
          <c:order val="2"/>
          <c:tx>
            <c:strRef>
              <c:f>'Few-shot Analysis'!$D$26</c:f>
              <c:strCache>
                <c:ptCount val="1"/>
                <c:pt idx="0">
                  <c:v>CIL-LoRA + Replay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'Few-shot Analysis'!$A$27:$A$31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108</c:v>
                </c:pt>
              </c:numCache>
            </c:numRef>
          </c:xVal>
          <c:yVal>
            <c:numRef>
              <c:f>'Few-shot Analysis'!$D$27:$D$31</c:f>
              <c:numCache>
                <c:formatCode>0.000</c:formatCode>
                <c:ptCount val="5"/>
                <c:pt idx="0">
                  <c:v>0.3950809173008259</c:v>
                </c:pt>
                <c:pt idx="1">
                  <c:v>0.35098729270619788</c:v>
                </c:pt>
                <c:pt idx="2">
                  <c:v>0.46887751395115596</c:v>
                </c:pt>
                <c:pt idx="3">
                  <c:v>0.5925326498655934</c:v>
                </c:pt>
                <c:pt idx="4">
                  <c:v>0.36275102232078404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A7-49C3-B1C3-156D83380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733408"/>
        <c:axId val="327743760"/>
      </c:scatterChart>
      <c:valAx>
        <c:axId val="28473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743760"/>
        <c:crosses val="autoZero"/>
        <c:crossBetween val="midCat"/>
      </c:valAx>
      <c:valAx>
        <c:axId val="32774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33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Extras!$C$1</c:f>
              <c:strCache>
                <c:ptCount val="1"/>
                <c:pt idx="0">
                  <c:v>Relative Frobenius Norm of LoRA Weights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9D-4CDD-8F03-9878F53064B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9D-4CDD-8F03-9878F53064B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19D-4CDD-8F03-9878F53064B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9D-4CDD-8F03-9878F53064BD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Extras!$A$2:$B$9</c15:sqref>
                  </c15:fullRef>
                  <c15:levelRef>
                    <c15:sqref>Extras!$B$2:$B$9</c15:sqref>
                  </c15:levelRef>
                </c:ext>
              </c:extLst>
              <c:f>Extras!$B$2:$B$9</c:f>
              <c:strCache>
                <c:ptCount val="8"/>
                <c:pt idx="0">
                  <c:v>Lateral Tibial -&gt; Medial Tibial</c:v>
                </c:pt>
                <c:pt idx="1">
                  <c:v>Medial Tibial -&gt; Femoral</c:v>
                </c:pt>
                <c:pt idx="2">
                  <c:v>Femoral -&gt; Patellar</c:v>
                </c:pt>
                <c:pt idx="3">
                  <c:v>Patellar -&gt; Medial Meniscus</c:v>
                </c:pt>
                <c:pt idx="4">
                  <c:v>Medial Meniscus -&gt; Patellar</c:v>
                </c:pt>
                <c:pt idx="5">
                  <c:v>Patellar -&gt; Femoral</c:v>
                </c:pt>
                <c:pt idx="6">
                  <c:v>Femoral -&gt; Medial Tibial</c:v>
                </c:pt>
                <c:pt idx="7">
                  <c:v>Medial Tibial -&gt; Lateral Tibial</c:v>
                </c:pt>
              </c:strCache>
            </c:strRef>
          </c:cat>
          <c:val>
            <c:numRef>
              <c:f>Extras!$C$2:$C$9</c:f>
              <c:numCache>
                <c:formatCode>0.00</c:formatCode>
                <c:ptCount val="8"/>
                <c:pt idx="0">
                  <c:v>4.09570079916328E-2</c:v>
                </c:pt>
                <c:pt idx="1">
                  <c:v>4.2534859779233797E-2</c:v>
                </c:pt>
                <c:pt idx="2">
                  <c:v>0.23941292433981201</c:v>
                </c:pt>
                <c:pt idx="3">
                  <c:v>0.12429498195396101</c:v>
                </c:pt>
                <c:pt idx="4">
                  <c:v>0.243273645003728</c:v>
                </c:pt>
                <c:pt idx="5">
                  <c:v>0.111449750583911</c:v>
                </c:pt>
                <c:pt idx="6">
                  <c:v>2.32723264233698E-2</c:v>
                </c:pt>
                <c:pt idx="7">
                  <c:v>4.4738194384700801E-2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D-4CDD-8F03-9878F5306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21117520"/>
        <c:axId val="978157616"/>
      </c:barChart>
      <c:catAx>
        <c:axId val="1421117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Task</a:t>
                </a:r>
                <a:r>
                  <a:rPr lang="en-IN" baseline="0"/>
                  <a:t> Transition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157616"/>
        <c:crosses val="autoZero"/>
        <c:auto val="1"/>
        <c:lblAlgn val="ctr"/>
        <c:lblOffset val="100"/>
        <c:noMultiLvlLbl val="0"/>
      </c:catAx>
      <c:valAx>
        <c:axId val="97815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Frobenius Norm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11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1078328</xdr:colOff>
      <xdr:row>87</xdr:row>
      <xdr:rowOff>111772</xdr:rowOff>
    </xdr:from>
    <xdr:to>
      <xdr:col>5</xdr:col>
      <xdr:colOff>107576</xdr:colOff>
      <xdr:row>106</xdr:row>
      <xdr:rowOff>89648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76D7E0-D677-1330-AE01-BDEEB09B9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811306</xdr:colOff>
      <xdr:row>57</xdr:row>
      <xdr:rowOff>152399</xdr:rowOff>
    </xdr:from>
    <xdr:to>
      <xdr:col>11</xdr:col>
      <xdr:colOff>838201</xdr:colOff>
      <xdr:row>74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86640-4456-9C73-1B87-F6843B2AA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398931</xdr:colOff>
      <xdr:row>78</xdr:row>
      <xdr:rowOff>53787</xdr:rowOff>
    </xdr:from>
    <xdr:to>
      <xdr:col>15</xdr:col>
      <xdr:colOff>228601</xdr:colOff>
      <xdr:row>92</xdr:row>
      <xdr:rowOff>62751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D06700-3DAD-77CC-2E37-5D980AE92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0</xdr:row>
      <xdr:rowOff>331470</xdr:rowOff>
    </xdr:from>
    <xdr:to>
      <xdr:col>15</xdr:col>
      <xdr:colOff>45720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B8B4A-5908-A207-0315-B8AD73D66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327660</xdr:colOff>
      <xdr:row>20</xdr:row>
      <xdr:rowOff>163830</xdr:rowOff>
    </xdr:from>
    <xdr:to>
      <xdr:col>14</xdr:col>
      <xdr:colOff>22860</xdr:colOff>
      <xdr:row>35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27991C-9EC9-6BC9-4A56-9E232E33C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2</xdr:row>
      <xdr:rowOff>125730</xdr:rowOff>
    </xdr:from>
    <xdr:to>
      <xdr:col>12</xdr:col>
      <xdr:colOff>236220</xdr:colOff>
      <xdr:row>22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F1B457-757E-9A4F-955F-CA17E1440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123A-399E-4F5B-903D-F904EFBFDB9D}">
  <dimension ref="A1:L82"/>
  <sheetViews>
    <sheetView topLeftCell="A10" zoomScale="85" zoomScaleNormal="85" workbookViewId="0">
      <selection activeCell="G35" sqref="G35:H35"/>
    </sheetView>
  </sheetViews>
  <sheetFormatPr defaultRowHeight="14.4" x14ac:dyDescent="0.3"/>
  <cols>
    <col min="1" max="3" width="18.33203125" customWidth="1"/>
    <col min="4" max="4" width="23.88671875" style="3" customWidth="1"/>
    <col min="5" max="5" width="35.6640625" style="3" customWidth="1"/>
    <col min="6" max="6" width="16.88671875" style="1" customWidth="1"/>
    <col min="7" max="7" width="13.5546875" style="1" customWidth="1"/>
    <col min="8" max="8" width="13.77734375" style="1" customWidth="1"/>
    <col min="9" max="9" width="8.88671875" style="1"/>
    <col min="10" max="10" width="16" style="1" customWidth="1"/>
    <col min="11" max="11" width="14.109375" customWidth="1"/>
    <col min="12" max="12" width="12.44140625" customWidth="1"/>
  </cols>
  <sheetData>
    <row r="1" spans="1:12" s="12" customFormat="1" ht="29.4" thickBot="1" x14ac:dyDescent="0.35">
      <c r="A1" s="10" t="s">
        <v>30</v>
      </c>
      <c r="B1" s="10" t="s">
        <v>81</v>
      </c>
      <c r="C1" s="10" t="s">
        <v>63</v>
      </c>
      <c r="D1" s="10" t="s">
        <v>31</v>
      </c>
      <c r="E1" s="10" t="s">
        <v>32</v>
      </c>
      <c r="F1" s="11" t="s">
        <v>20</v>
      </c>
      <c r="G1" s="11" t="s">
        <v>62</v>
      </c>
      <c r="H1" s="11" t="s">
        <v>21</v>
      </c>
      <c r="I1" s="11" t="s">
        <v>4</v>
      </c>
      <c r="J1" s="13" t="s">
        <v>92</v>
      </c>
      <c r="K1" s="12" t="s">
        <v>76</v>
      </c>
      <c r="L1" s="12" t="s">
        <v>75</v>
      </c>
    </row>
    <row r="2" spans="1:12" s="3" customFormat="1" x14ac:dyDescent="0.3">
      <c r="A2" s="48" t="s">
        <v>49</v>
      </c>
      <c r="B2" s="48">
        <v>108</v>
      </c>
      <c r="C2" s="48"/>
      <c r="D2" s="48" t="s">
        <v>50</v>
      </c>
      <c r="E2" s="48" t="s">
        <v>35</v>
      </c>
      <c r="F2" s="54">
        <v>0.15821989034560521</v>
      </c>
      <c r="G2" s="54">
        <v>0.13041320790710714</v>
      </c>
      <c r="H2" s="54">
        <v>0.81221432456296339</v>
      </c>
      <c r="I2" s="54">
        <v>2.0042463308034943E-3</v>
      </c>
      <c r="J2" s="54">
        <v>1</v>
      </c>
      <c r="K2" s="9">
        <v>0.13041320790710714</v>
      </c>
      <c r="L2" s="9">
        <v>0.81221432456296339</v>
      </c>
    </row>
    <row r="3" spans="1:12" s="3" customFormat="1" x14ac:dyDescent="0.3">
      <c r="A3" s="48" t="s">
        <v>49</v>
      </c>
      <c r="B3" s="48">
        <v>5</v>
      </c>
      <c r="C3" s="48"/>
      <c r="D3" s="48"/>
      <c r="E3" s="48" t="s">
        <v>35</v>
      </c>
      <c r="F3" s="45">
        <v>0.18403066128677589</v>
      </c>
      <c r="G3" s="45">
        <v>1.3025533130761597E-5</v>
      </c>
      <c r="H3" s="45">
        <v>0.68765294755401618</v>
      </c>
      <c r="I3" s="45">
        <v>0.11244599465569104</v>
      </c>
      <c r="J3" s="45">
        <v>1</v>
      </c>
      <c r="K3" s="9">
        <v>1.3025533130761597E-5</v>
      </c>
      <c r="L3" s="9">
        <v>0.68765294755401618</v>
      </c>
    </row>
    <row r="4" spans="1:12" s="3" customFormat="1" x14ac:dyDescent="0.3">
      <c r="A4" s="48" t="s">
        <v>49</v>
      </c>
      <c r="B4" s="48">
        <v>10</v>
      </c>
      <c r="C4" s="48"/>
      <c r="D4" s="48"/>
      <c r="E4" s="48" t="s">
        <v>35</v>
      </c>
      <c r="F4" s="45">
        <v>0.14872842259555394</v>
      </c>
      <c r="G4" s="45">
        <v>0</v>
      </c>
      <c r="H4" s="45">
        <v>0.75656230685611514</v>
      </c>
      <c r="I4" s="45">
        <v>2.945953386650732E-2</v>
      </c>
      <c r="J4" s="45">
        <v>1</v>
      </c>
      <c r="K4" s="9">
        <v>1.3025533130761597E-5</v>
      </c>
      <c r="L4" s="9">
        <v>0.75656230685611514</v>
      </c>
    </row>
    <row r="5" spans="1:12" s="3" customFormat="1" x14ac:dyDescent="0.3">
      <c r="A5" s="48" t="s">
        <v>49</v>
      </c>
      <c r="B5" s="48">
        <v>20</v>
      </c>
      <c r="C5" s="48"/>
      <c r="D5" s="48"/>
      <c r="E5" s="48" t="s">
        <v>35</v>
      </c>
      <c r="F5" s="45">
        <v>0.1355941866100692</v>
      </c>
      <c r="G5" s="45">
        <v>0</v>
      </c>
      <c r="H5" s="45">
        <v>0.77451379255702046</v>
      </c>
      <c r="I5" s="45">
        <v>1.0764322659652058E-2</v>
      </c>
      <c r="J5" s="45">
        <v>1</v>
      </c>
      <c r="K5" s="9">
        <v>1.3025533130761597E-5</v>
      </c>
      <c r="L5" s="9">
        <v>0.77451379255702046</v>
      </c>
    </row>
    <row r="6" spans="1:12" s="3" customFormat="1" ht="15" thickBot="1" x14ac:dyDescent="0.35">
      <c r="A6" s="55" t="s">
        <v>49</v>
      </c>
      <c r="B6" s="55">
        <v>50</v>
      </c>
      <c r="C6" s="55"/>
      <c r="D6" s="55"/>
      <c r="E6" s="55" t="s">
        <v>35</v>
      </c>
      <c r="F6" s="56">
        <v>0.11407012368918075</v>
      </c>
      <c r="G6" s="56">
        <v>0</v>
      </c>
      <c r="H6" s="56">
        <v>0.66555190614114168</v>
      </c>
      <c r="I6" s="56">
        <v>2.5925745401687673E-2</v>
      </c>
      <c r="J6" s="56">
        <v>1</v>
      </c>
      <c r="K6" s="9"/>
      <c r="L6" s="9"/>
    </row>
    <row r="7" spans="1:12" s="3" customFormat="1" ht="15" thickBot="1" x14ac:dyDescent="0.35">
      <c r="A7" s="48" t="s">
        <v>49</v>
      </c>
      <c r="B7" s="48">
        <v>108</v>
      </c>
      <c r="C7" s="48"/>
      <c r="D7" s="48" t="s">
        <v>50</v>
      </c>
      <c r="E7" s="48" t="s">
        <v>40</v>
      </c>
      <c r="F7" s="45">
        <v>0.15646076719033913</v>
      </c>
      <c r="G7" s="45">
        <v>0.13535901293871561</v>
      </c>
      <c r="H7" s="45">
        <v>0.79443282962195805</v>
      </c>
      <c r="I7" s="45">
        <v>2.2276165711450783E-3</v>
      </c>
      <c r="J7" s="45">
        <v>0.97933942185673528</v>
      </c>
      <c r="K7" s="9">
        <v>0.13041320790710714</v>
      </c>
      <c r="L7" s="9">
        <v>0.81221432456296339</v>
      </c>
    </row>
    <row r="8" spans="1:12" x14ac:dyDescent="0.3">
      <c r="A8" s="14" t="s">
        <v>33</v>
      </c>
      <c r="B8" s="14">
        <v>108</v>
      </c>
      <c r="C8" s="14">
        <v>2</v>
      </c>
      <c r="D8" s="15" t="s">
        <v>61</v>
      </c>
      <c r="E8" s="15" t="s">
        <v>35</v>
      </c>
      <c r="F8" s="47">
        <v>0.44892349765497075</v>
      </c>
      <c r="G8" s="52">
        <v>0.71527683287858923</v>
      </c>
      <c r="H8" s="47">
        <v>0</v>
      </c>
      <c r="I8" s="47">
        <v>9.9430155645398005E-2</v>
      </c>
      <c r="J8" s="16">
        <v>0</v>
      </c>
      <c r="K8" s="9">
        <v>0.13041320790710714</v>
      </c>
      <c r="L8" s="9">
        <v>0.81221432456296339</v>
      </c>
    </row>
    <row r="9" spans="1:12" x14ac:dyDescent="0.3">
      <c r="A9" s="17" t="s">
        <v>33</v>
      </c>
      <c r="B9" s="17">
        <v>108</v>
      </c>
      <c r="C9" s="17">
        <v>4</v>
      </c>
      <c r="D9" s="18" t="s">
        <v>56</v>
      </c>
      <c r="E9" s="18" t="s">
        <v>35</v>
      </c>
      <c r="F9" s="49">
        <v>0.4506620064364199</v>
      </c>
      <c r="G9" s="49">
        <v>0.70172176038225409</v>
      </c>
      <c r="H9" s="49">
        <v>0</v>
      </c>
      <c r="I9" s="49">
        <v>0.14209984751920213</v>
      </c>
      <c r="J9" s="19">
        <v>0</v>
      </c>
      <c r="K9" s="9">
        <v>0.13041320790710714</v>
      </c>
      <c r="L9" s="9">
        <v>0.81221432456296339</v>
      </c>
    </row>
    <row r="10" spans="1:12" x14ac:dyDescent="0.3">
      <c r="A10" s="17" t="s">
        <v>33</v>
      </c>
      <c r="B10" s="17">
        <v>5</v>
      </c>
      <c r="C10" s="17">
        <v>4</v>
      </c>
      <c r="D10" s="18" t="s">
        <v>56</v>
      </c>
      <c r="E10" s="18" t="s">
        <v>35</v>
      </c>
      <c r="F10" s="19">
        <v>0.21486297831581919</v>
      </c>
      <c r="G10" s="19">
        <v>0.33153970763087259</v>
      </c>
      <c r="H10" s="19">
        <v>0</v>
      </c>
      <c r="I10" s="19">
        <v>0.171289350564619</v>
      </c>
      <c r="J10" s="19">
        <v>0</v>
      </c>
      <c r="K10" s="9"/>
      <c r="L10" s="9"/>
    </row>
    <row r="11" spans="1:12" x14ac:dyDescent="0.3">
      <c r="A11" s="17" t="s">
        <v>33</v>
      </c>
      <c r="B11" s="17">
        <v>10</v>
      </c>
      <c r="C11" s="17">
        <v>4</v>
      </c>
      <c r="D11" s="18" t="s">
        <v>56</v>
      </c>
      <c r="E11" s="18" t="s">
        <v>35</v>
      </c>
      <c r="F11" s="19">
        <v>0.21717600321724517</v>
      </c>
      <c r="G11" s="19">
        <v>0.33679310753941516</v>
      </c>
      <c r="H11" s="19">
        <v>0</v>
      </c>
      <c r="I11" s="53">
        <v>0.1715597704730179</v>
      </c>
      <c r="J11" s="19">
        <v>0</v>
      </c>
      <c r="K11" s="9"/>
      <c r="L11" s="9"/>
    </row>
    <row r="12" spans="1:12" x14ac:dyDescent="0.3">
      <c r="A12" s="17" t="s">
        <v>33</v>
      </c>
      <c r="B12" s="17">
        <v>20</v>
      </c>
      <c r="C12" s="17">
        <v>4</v>
      </c>
      <c r="D12" s="18" t="s">
        <v>56</v>
      </c>
      <c r="E12" s="18" t="s">
        <v>35</v>
      </c>
      <c r="F12" s="19">
        <v>0.21796049767127879</v>
      </c>
      <c r="G12" s="19">
        <v>0.33764468819778493</v>
      </c>
      <c r="H12" s="19">
        <v>0</v>
      </c>
      <c r="I12" s="19">
        <v>0.17230376757000759</v>
      </c>
      <c r="J12" s="19">
        <v>0</v>
      </c>
      <c r="K12" s="9"/>
      <c r="L12" s="9"/>
    </row>
    <row r="13" spans="1:12" x14ac:dyDescent="0.3">
      <c r="A13" s="17" t="s">
        <v>33</v>
      </c>
      <c r="B13" s="17">
        <v>50</v>
      </c>
      <c r="C13" s="17">
        <v>4</v>
      </c>
      <c r="D13" s="18" t="s">
        <v>56</v>
      </c>
      <c r="E13" s="18" t="s">
        <v>35</v>
      </c>
      <c r="F13" s="19">
        <v>0.28371709304550352</v>
      </c>
      <c r="G13" s="19">
        <v>0.44481618204542084</v>
      </c>
      <c r="H13" s="19">
        <v>0</v>
      </c>
      <c r="I13" s="19">
        <v>0.19598034137504772</v>
      </c>
      <c r="J13" s="19">
        <v>0</v>
      </c>
      <c r="K13" s="9"/>
      <c r="L13" s="9"/>
    </row>
    <row r="14" spans="1:12" x14ac:dyDescent="0.3">
      <c r="A14" s="17" t="s">
        <v>33</v>
      </c>
      <c r="B14" s="17">
        <v>108</v>
      </c>
      <c r="C14" s="17">
        <v>8</v>
      </c>
      <c r="D14" s="18" t="s">
        <v>34</v>
      </c>
      <c r="E14" s="18" t="s">
        <v>35</v>
      </c>
      <c r="F14" s="19">
        <v>0.43459397456611704</v>
      </c>
      <c r="G14" s="19">
        <v>0.65856486807266823</v>
      </c>
      <c r="H14" s="19">
        <v>0</v>
      </c>
      <c r="I14" s="19">
        <v>0.2078116987036964</v>
      </c>
      <c r="J14" s="19">
        <v>0</v>
      </c>
      <c r="K14" s="9">
        <v>0.13041320790710714</v>
      </c>
      <c r="L14" s="9">
        <v>0.81221432456296339</v>
      </c>
    </row>
    <row r="15" spans="1:12" x14ac:dyDescent="0.3">
      <c r="A15" s="17" t="s">
        <v>33</v>
      </c>
      <c r="B15" s="17">
        <v>108</v>
      </c>
      <c r="C15" s="17">
        <v>16</v>
      </c>
      <c r="D15" s="18" t="s">
        <v>36</v>
      </c>
      <c r="E15" s="18" t="s">
        <v>35</v>
      </c>
      <c r="F15" s="19">
        <v>0.38501301006632227</v>
      </c>
      <c r="G15" s="19">
        <v>0.59311688964565534</v>
      </c>
      <c r="H15" s="19">
        <v>0</v>
      </c>
      <c r="I15" s="53">
        <v>0.20949369836575366</v>
      </c>
      <c r="J15" s="19">
        <v>0</v>
      </c>
      <c r="K15" s="9">
        <v>0.13041320790710714</v>
      </c>
      <c r="L15" s="9">
        <v>0.81221432456296339</v>
      </c>
    </row>
    <row r="16" spans="1:12" x14ac:dyDescent="0.3">
      <c r="A16" s="17" t="s">
        <v>33</v>
      </c>
      <c r="B16" s="17">
        <v>108</v>
      </c>
      <c r="C16" s="17">
        <v>32</v>
      </c>
      <c r="D16" s="18" t="s">
        <v>37</v>
      </c>
      <c r="E16" s="18" t="s">
        <v>35</v>
      </c>
      <c r="F16" s="19">
        <v>0.344484085586165</v>
      </c>
      <c r="G16" s="19">
        <v>0.53074006835813581</v>
      </c>
      <c r="H16" s="19">
        <v>0</v>
      </c>
      <c r="I16" s="19">
        <v>0.2085876304408851</v>
      </c>
      <c r="J16" s="19">
        <v>0</v>
      </c>
      <c r="K16" s="9">
        <v>0.13041320790710714</v>
      </c>
      <c r="L16" s="9">
        <v>0.81221432456296339</v>
      </c>
    </row>
    <row r="17" spans="1:12" x14ac:dyDescent="0.3">
      <c r="A17" s="17" t="s">
        <v>33</v>
      </c>
      <c r="B17" s="17">
        <v>108</v>
      </c>
      <c r="C17" s="17">
        <v>64</v>
      </c>
      <c r="D17" s="18" t="s">
        <v>38</v>
      </c>
      <c r="E17" s="18" t="s">
        <v>35</v>
      </c>
      <c r="F17" s="19">
        <v>0.28456890645770105</v>
      </c>
      <c r="G17" s="19">
        <v>0.45528703003074023</v>
      </c>
      <c r="H17" s="19">
        <v>0</v>
      </c>
      <c r="I17" s="19">
        <v>0.18779982602306192</v>
      </c>
      <c r="J17" s="19">
        <v>0</v>
      </c>
      <c r="K17" s="9">
        <v>0.13041320790710714</v>
      </c>
      <c r="L17" s="9">
        <v>0.81221432456296339</v>
      </c>
    </row>
    <row r="18" spans="1:12" ht="15" thickBot="1" x14ac:dyDescent="0.35">
      <c r="A18" s="17" t="s">
        <v>33</v>
      </c>
      <c r="B18" s="17">
        <v>108</v>
      </c>
      <c r="C18" s="17">
        <v>128</v>
      </c>
      <c r="D18" s="18" t="s">
        <v>39</v>
      </c>
      <c r="E18" s="18" t="s">
        <v>35</v>
      </c>
      <c r="F18" s="19">
        <v>0.266322984880356</v>
      </c>
      <c r="G18" s="19">
        <v>0.42413065644347309</v>
      </c>
      <c r="H18" s="19">
        <v>0</v>
      </c>
      <c r="I18" s="19">
        <v>0.18034677244964473</v>
      </c>
      <c r="J18" s="19">
        <v>0</v>
      </c>
      <c r="K18" s="9">
        <v>0.13041320790710714</v>
      </c>
      <c r="L18" s="9">
        <v>0.81221432456296339</v>
      </c>
    </row>
    <row r="19" spans="1:12" x14ac:dyDescent="0.3">
      <c r="A19" s="14" t="s">
        <v>33</v>
      </c>
      <c r="B19" s="14">
        <v>108</v>
      </c>
      <c r="C19" s="14"/>
      <c r="D19" s="15" t="s">
        <v>61</v>
      </c>
      <c r="E19" s="15" t="s">
        <v>40</v>
      </c>
      <c r="F19" s="47">
        <v>0.46240357701890356</v>
      </c>
      <c r="G19" s="47">
        <v>0.7189754292368884</v>
      </c>
      <c r="H19" s="16">
        <v>0</v>
      </c>
      <c r="I19" s="47">
        <v>7.0580079111032784E-2</v>
      </c>
      <c r="J19" s="16">
        <v>0</v>
      </c>
      <c r="K19" s="9">
        <v>0.13041320790710714</v>
      </c>
      <c r="L19" s="9">
        <v>0.81221432456296339</v>
      </c>
    </row>
    <row r="20" spans="1:12" x14ac:dyDescent="0.3">
      <c r="A20" s="17" t="s">
        <v>33</v>
      </c>
      <c r="B20" s="17">
        <v>108</v>
      </c>
      <c r="C20" s="17"/>
      <c r="D20" s="18" t="s">
        <v>56</v>
      </c>
      <c r="E20" s="18" t="s">
        <v>40</v>
      </c>
      <c r="F20" s="19">
        <v>0.45634811354908028</v>
      </c>
      <c r="G20" s="19">
        <v>0.69801154856880432</v>
      </c>
      <c r="H20" s="19">
        <v>0</v>
      </c>
      <c r="I20" s="19">
        <v>7.7025935634531376E-2</v>
      </c>
      <c r="J20" s="19">
        <v>0</v>
      </c>
      <c r="K20" s="9">
        <v>0.13041320790710714</v>
      </c>
      <c r="L20" s="9">
        <v>0.81221432456296339</v>
      </c>
    </row>
    <row r="21" spans="1:12" ht="15" thickBot="1" x14ac:dyDescent="0.35">
      <c r="A21" s="20" t="s">
        <v>33</v>
      </c>
      <c r="B21" s="20">
        <v>108</v>
      </c>
      <c r="C21" s="20"/>
      <c r="D21" s="21" t="s">
        <v>34</v>
      </c>
      <c r="E21" s="21" t="s">
        <v>40</v>
      </c>
      <c r="F21" s="46">
        <v>0.4482642483356386</v>
      </c>
      <c r="G21" s="46">
        <v>0.67097524851560564</v>
      </c>
      <c r="H21" s="22">
        <v>0</v>
      </c>
      <c r="I21" s="22">
        <v>9.6169253569169277E-2</v>
      </c>
      <c r="J21" s="22">
        <v>0</v>
      </c>
      <c r="K21" s="9">
        <v>0.13041320790710714</v>
      </c>
      <c r="L21" s="9">
        <v>0.81221432456296339</v>
      </c>
    </row>
    <row r="22" spans="1:12" x14ac:dyDescent="0.3">
      <c r="A22" s="23" t="s">
        <v>41</v>
      </c>
      <c r="B22" s="23">
        <v>108</v>
      </c>
      <c r="C22" s="23"/>
      <c r="D22" s="24" t="s">
        <v>36</v>
      </c>
      <c r="E22" s="24" t="s">
        <v>35</v>
      </c>
      <c r="F22" s="25">
        <v>0.17027368972515719</v>
      </c>
      <c r="G22" s="25">
        <v>0</v>
      </c>
      <c r="H22" s="25">
        <v>0.73093163004765871</v>
      </c>
      <c r="I22" s="25">
        <v>9.0565594791358742E-2</v>
      </c>
      <c r="J22" s="25">
        <v>1</v>
      </c>
      <c r="K22" s="9">
        <v>0.13041320790710714</v>
      </c>
      <c r="L22" s="9">
        <v>0.81221432456296339</v>
      </c>
    </row>
    <row r="23" spans="1:12" x14ac:dyDescent="0.3">
      <c r="A23" s="26" t="s">
        <v>41</v>
      </c>
      <c r="B23" s="26">
        <v>108</v>
      </c>
      <c r="C23" s="26"/>
      <c r="D23" s="27" t="s">
        <v>37</v>
      </c>
      <c r="E23" s="27" t="s">
        <v>35</v>
      </c>
      <c r="F23" s="28">
        <v>0.18198204949568492</v>
      </c>
      <c r="G23" s="28">
        <v>0</v>
      </c>
      <c r="H23" s="28">
        <v>0.72770695450405232</v>
      </c>
      <c r="I23" s="28">
        <v>0.12765961455604213</v>
      </c>
      <c r="J23" s="28">
        <v>1</v>
      </c>
      <c r="K23" s="9">
        <v>0.13041320790710714</v>
      </c>
      <c r="L23" s="9">
        <v>0.81221432456296339</v>
      </c>
    </row>
    <row r="24" spans="1:12" x14ac:dyDescent="0.3">
      <c r="A24" s="26" t="s">
        <v>41</v>
      </c>
      <c r="B24" s="26">
        <v>108</v>
      </c>
      <c r="C24" s="26"/>
      <c r="D24" s="27" t="s">
        <v>38</v>
      </c>
      <c r="E24" s="27" t="s">
        <v>35</v>
      </c>
      <c r="F24" s="28">
        <v>0.18529026552312025</v>
      </c>
      <c r="G24" s="28">
        <v>0</v>
      </c>
      <c r="H24" s="28">
        <v>0.70174930617213227</v>
      </c>
      <c r="I24" s="28">
        <v>0.17835296228522804</v>
      </c>
      <c r="J24" s="28">
        <v>1</v>
      </c>
      <c r="K24" s="9">
        <v>0.13041320790710714</v>
      </c>
      <c r="L24" s="9">
        <v>0.81221432456296339</v>
      </c>
    </row>
    <row r="25" spans="1:12" x14ac:dyDescent="0.3">
      <c r="A25" s="26" t="s">
        <v>41</v>
      </c>
      <c r="B25" s="26">
        <v>108</v>
      </c>
      <c r="C25" s="26"/>
      <c r="D25" s="27" t="s">
        <v>39</v>
      </c>
      <c r="E25" s="27" t="s">
        <v>35</v>
      </c>
      <c r="F25" s="57">
        <v>0.18896991867017865</v>
      </c>
      <c r="G25" s="57">
        <v>0</v>
      </c>
      <c r="H25" s="57">
        <v>0.67012428569917826</v>
      </c>
      <c r="I25" s="57">
        <v>0.20162295673244032</v>
      </c>
      <c r="J25" s="57">
        <v>1</v>
      </c>
      <c r="K25" s="9">
        <v>0.13041320790710714</v>
      </c>
      <c r="L25" s="9">
        <v>0.81221432456296339</v>
      </c>
    </row>
    <row r="26" spans="1:12" x14ac:dyDescent="0.3">
      <c r="A26" s="26" t="s">
        <v>41</v>
      </c>
      <c r="B26" s="26">
        <v>108</v>
      </c>
      <c r="C26" s="26"/>
      <c r="D26" s="27" t="s">
        <v>39</v>
      </c>
      <c r="E26" s="27" t="s">
        <v>40</v>
      </c>
      <c r="F26" s="29">
        <v>0.14699133779879031</v>
      </c>
      <c r="G26" s="29">
        <v>0.1781984744064779</v>
      </c>
      <c r="H26" s="29">
        <v>0.44250829917715812</v>
      </c>
      <c r="I26" s="29">
        <v>0.10180517920138252</v>
      </c>
      <c r="J26" s="29">
        <v>1</v>
      </c>
      <c r="K26" s="9">
        <v>0.13041320790710714</v>
      </c>
      <c r="L26" s="9">
        <v>0.81221432456296339</v>
      </c>
    </row>
    <row r="27" spans="1:12" x14ac:dyDescent="0.3">
      <c r="A27" s="26" t="s">
        <v>41</v>
      </c>
      <c r="B27" s="26">
        <v>108</v>
      </c>
      <c r="C27" s="26"/>
      <c r="D27" s="27" t="s">
        <v>39</v>
      </c>
      <c r="E27" s="27" t="s">
        <v>42</v>
      </c>
      <c r="F27" s="29">
        <v>0.20088825832255919</v>
      </c>
      <c r="G27" s="29">
        <v>0.1947640807290251</v>
      </c>
      <c r="H27" s="29">
        <v>0.56879420195279318</v>
      </c>
      <c r="I27" s="29">
        <v>0.20095751333015707</v>
      </c>
      <c r="J27" s="29">
        <v>0.77449385646961444</v>
      </c>
      <c r="K27" s="9">
        <v>0.13041320790710714</v>
      </c>
      <c r="L27" s="9">
        <v>0.81221432456296339</v>
      </c>
    </row>
    <row r="28" spans="1:12" s="3" customFormat="1" x14ac:dyDescent="0.3">
      <c r="A28" s="27" t="s">
        <v>41</v>
      </c>
      <c r="B28" s="27">
        <v>108</v>
      </c>
      <c r="C28" s="27"/>
      <c r="D28" s="27" t="s">
        <v>39</v>
      </c>
      <c r="E28" s="27" t="s">
        <v>43</v>
      </c>
      <c r="F28" s="29">
        <v>0.25516058875625564</v>
      </c>
      <c r="G28" s="29">
        <v>1.8869831986586146E-6</v>
      </c>
      <c r="H28" s="29">
        <v>0.98075439467483727</v>
      </c>
      <c r="I28" s="29">
        <v>1.2763377308147E-3</v>
      </c>
      <c r="J28" s="28">
        <v>1</v>
      </c>
      <c r="K28" s="9">
        <v>0.13041320790710714</v>
      </c>
      <c r="L28" s="9">
        <v>0.81221432456296339</v>
      </c>
    </row>
    <row r="29" spans="1:12" s="3" customFormat="1" x14ac:dyDescent="0.3">
      <c r="A29" s="27" t="s">
        <v>41</v>
      </c>
      <c r="B29" s="27">
        <v>108</v>
      </c>
      <c r="C29" s="27"/>
      <c r="D29" s="27" t="s">
        <v>39</v>
      </c>
      <c r="E29" s="27" t="s">
        <v>44</v>
      </c>
      <c r="F29" s="29">
        <v>0.27780029392262773</v>
      </c>
      <c r="G29" s="29">
        <v>0.3223147163184571</v>
      </c>
      <c r="H29" s="29">
        <v>0.27728392750122999</v>
      </c>
      <c r="I29" s="29">
        <v>0.21528207554296636</v>
      </c>
      <c r="J29" s="29">
        <v>0.97540249681134417</v>
      </c>
      <c r="K29" s="9">
        <v>0.13041320790710714</v>
      </c>
      <c r="L29" s="9">
        <v>0.81221432456296339</v>
      </c>
    </row>
    <row r="30" spans="1:12" s="3" customFormat="1" ht="15" thickBot="1" x14ac:dyDescent="0.35">
      <c r="A30" s="31" t="s">
        <v>41</v>
      </c>
      <c r="B30" s="31">
        <v>108</v>
      </c>
      <c r="C30" s="31"/>
      <c r="D30" s="31" t="s">
        <v>39</v>
      </c>
      <c r="E30" s="31" t="s">
        <v>45</v>
      </c>
      <c r="F30" s="32">
        <v>0.18398206637108744</v>
      </c>
      <c r="G30" s="32">
        <v>0</v>
      </c>
      <c r="H30" s="32">
        <v>0.66524908505380131</v>
      </c>
      <c r="I30" s="32">
        <v>0.19457925030183595</v>
      </c>
      <c r="J30" s="32">
        <v>1</v>
      </c>
      <c r="K30" s="9">
        <v>0.13041320790710714</v>
      </c>
      <c r="L30" s="9">
        <v>0.81221432456296339</v>
      </c>
    </row>
    <row r="31" spans="1:12" x14ac:dyDescent="0.3">
      <c r="A31" s="26" t="s">
        <v>77</v>
      </c>
      <c r="B31" s="26">
        <v>108</v>
      </c>
      <c r="C31" s="26"/>
      <c r="D31" s="27" t="s">
        <v>57</v>
      </c>
      <c r="E31" s="27" t="s">
        <v>35</v>
      </c>
      <c r="F31" s="29">
        <v>0.28070222298089048</v>
      </c>
      <c r="G31" s="29">
        <v>0.35306040356711754</v>
      </c>
      <c r="H31" s="29">
        <v>0.36275102232078404</v>
      </c>
      <c r="I31" s="29">
        <v>0.12887594358852156</v>
      </c>
      <c r="J31" s="29">
        <v>0.5452567981080112</v>
      </c>
      <c r="K31" s="9">
        <v>0.13041320790710714</v>
      </c>
      <c r="L31" s="9">
        <v>0.81221432456296339</v>
      </c>
    </row>
    <row r="32" spans="1:12" x14ac:dyDescent="0.3">
      <c r="A32" s="26" t="s">
        <v>77</v>
      </c>
      <c r="B32" s="26">
        <v>5</v>
      </c>
      <c r="C32" s="26"/>
      <c r="D32" s="27" t="s">
        <v>57</v>
      </c>
      <c r="E32" s="27" t="s">
        <v>35</v>
      </c>
      <c r="F32" s="28">
        <v>0.11918058641564049</v>
      </c>
      <c r="G32" s="28">
        <v>1.3040762123030919E-3</v>
      </c>
      <c r="H32" s="28">
        <v>0.3950809173008259</v>
      </c>
      <c r="I32" s="28">
        <v>0.17222828238737178</v>
      </c>
      <c r="J32" s="28">
        <v>0.7603095586065971</v>
      </c>
      <c r="K32" s="9"/>
      <c r="L32" s="9"/>
    </row>
    <row r="33" spans="1:12" x14ac:dyDescent="0.3">
      <c r="A33" s="26" t="s">
        <v>77</v>
      </c>
      <c r="B33" s="26">
        <v>10</v>
      </c>
      <c r="C33" s="26"/>
      <c r="D33" s="27" t="s">
        <v>57</v>
      </c>
      <c r="E33" s="27" t="s">
        <v>35</v>
      </c>
      <c r="F33" s="28">
        <v>0.11475436571387979</v>
      </c>
      <c r="G33" s="28">
        <v>9.0138830794482087E-3</v>
      </c>
      <c r="H33" s="28">
        <v>0.35098729270619788</v>
      </c>
      <c r="I33" s="28">
        <v>0.17344767342221934</v>
      </c>
      <c r="J33" s="28">
        <v>0.24273768431659956</v>
      </c>
      <c r="K33" s="9"/>
      <c r="L33" s="9"/>
    </row>
    <row r="34" spans="1:12" x14ac:dyDescent="0.3">
      <c r="A34" s="26" t="s">
        <v>77</v>
      </c>
      <c r="B34" s="26">
        <v>20</v>
      </c>
      <c r="C34" s="26"/>
      <c r="D34" s="27" t="s">
        <v>57</v>
      </c>
      <c r="E34" s="27" t="s">
        <v>35</v>
      </c>
      <c r="F34" s="28">
        <v>0.14376157885417934</v>
      </c>
      <c r="G34" s="28">
        <v>9.3502386789623051E-3</v>
      </c>
      <c r="H34" s="28">
        <v>0.46887751395115596</v>
      </c>
      <c r="I34" s="28">
        <v>0.17512690287449242</v>
      </c>
      <c r="J34" s="28">
        <v>0.65330482527219014</v>
      </c>
      <c r="K34" s="9"/>
      <c r="L34" s="9"/>
    </row>
    <row r="35" spans="1:12" ht="15" thickBot="1" x14ac:dyDescent="0.35">
      <c r="A35" s="30" t="s">
        <v>77</v>
      </c>
      <c r="B35" s="30">
        <v>50</v>
      </c>
      <c r="C35" s="30"/>
      <c r="D35" s="31" t="s">
        <v>57</v>
      </c>
      <c r="E35" s="31" t="s">
        <v>35</v>
      </c>
      <c r="F35" s="58">
        <v>0.19231958118852135</v>
      </c>
      <c r="G35" s="58">
        <v>3.0241577272818083E-2</v>
      </c>
      <c r="H35" s="58">
        <v>0.5925326498655934</v>
      </c>
      <c r="I35" s="58">
        <v>0.17602295144970001</v>
      </c>
      <c r="J35" s="58">
        <v>0.93890197434283618</v>
      </c>
      <c r="K35" s="9"/>
      <c r="L35" s="9"/>
    </row>
    <row r="36" spans="1:12" ht="15" thickBot="1" x14ac:dyDescent="0.35">
      <c r="A36" s="26" t="s">
        <v>77</v>
      </c>
      <c r="B36" s="26">
        <v>108</v>
      </c>
      <c r="C36" s="26"/>
      <c r="D36" s="27" t="s">
        <v>57</v>
      </c>
      <c r="E36" s="27" t="s">
        <v>40</v>
      </c>
      <c r="F36" s="29">
        <v>0.34499689175080345</v>
      </c>
      <c r="G36" s="29">
        <v>0.51552092066655519</v>
      </c>
      <c r="H36" s="29">
        <v>0.15832788427360353</v>
      </c>
      <c r="I36" s="29">
        <v>0.11445010220384357</v>
      </c>
      <c r="J36" s="29">
        <v>0.25542473917958564</v>
      </c>
      <c r="K36" s="9">
        <v>0.13041320790710714</v>
      </c>
      <c r="L36" s="9">
        <v>0.81221432456296339</v>
      </c>
    </row>
    <row r="37" spans="1:12" ht="29.4" thickBot="1" x14ac:dyDescent="0.35">
      <c r="A37" s="39" t="s">
        <v>46</v>
      </c>
      <c r="B37" s="39">
        <v>108</v>
      </c>
      <c r="C37" s="39"/>
      <c r="D37" s="40" t="s">
        <v>47</v>
      </c>
      <c r="E37" s="40" t="s">
        <v>35</v>
      </c>
      <c r="F37" s="41">
        <v>0.17884841607251462</v>
      </c>
      <c r="G37" s="41">
        <v>0.11472533125867505</v>
      </c>
      <c r="H37" s="41">
        <v>0.75303917993865788</v>
      </c>
      <c r="I37" s="41">
        <v>4.376284842038871E-2</v>
      </c>
      <c r="J37" s="41">
        <v>0.97939328849315599</v>
      </c>
      <c r="K37" s="9">
        <v>0.13041320790710714</v>
      </c>
      <c r="L37" s="9">
        <v>0.81221432456296339</v>
      </c>
    </row>
    <row r="38" spans="1:12" ht="29.4" thickBot="1" x14ac:dyDescent="0.35">
      <c r="A38" s="33" t="s">
        <v>46</v>
      </c>
      <c r="B38" s="33">
        <v>108</v>
      </c>
      <c r="C38" s="33"/>
      <c r="D38" s="34" t="s">
        <v>48</v>
      </c>
      <c r="E38" s="34" t="s">
        <v>40</v>
      </c>
      <c r="F38" s="35">
        <v>0.17063263944711848</v>
      </c>
      <c r="G38" s="35">
        <v>0.16842420883137174</v>
      </c>
      <c r="H38" s="35">
        <v>0.57107892004266114</v>
      </c>
      <c r="I38" s="35">
        <v>6.5912495012044436E-2</v>
      </c>
      <c r="J38" s="35">
        <v>0.97939226853387629</v>
      </c>
      <c r="K38" s="9">
        <v>0.13041320790710714</v>
      </c>
      <c r="L38" s="9">
        <v>0.81221432456296339</v>
      </c>
    </row>
    <row r="39" spans="1:12" ht="15" thickBot="1" x14ac:dyDescent="0.35">
      <c r="A39" s="36" t="s">
        <v>51</v>
      </c>
      <c r="B39" s="36">
        <v>108</v>
      </c>
      <c r="C39" s="36"/>
      <c r="D39" s="36" t="s">
        <v>52</v>
      </c>
      <c r="E39" s="36" t="s">
        <v>35</v>
      </c>
      <c r="F39" s="37">
        <v>0.16055703003086652</v>
      </c>
      <c r="G39" s="37">
        <v>0.109952311488223</v>
      </c>
      <c r="H39" s="37">
        <v>0.83673433770458827</v>
      </c>
      <c r="I39" s="37">
        <v>1.4500908555754019E-2</v>
      </c>
      <c r="J39" s="37">
        <v>0.97929835541390264</v>
      </c>
      <c r="K39" s="9">
        <v>0.13041320790710714</v>
      </c>
      <c r="L39" s="9">
        <v>0.81221432456296339</v>
      </c>
    </row>
    <row r="65" spans="1:8" ht="29.4" thickBot="1" x14ac:dyDescent="0.35">
      <c r="A65" t="s">
        <v>30</v>
      </c>
      <c r="C65" s="11" t="s">
        <v>62</v>
      </c>
      <c r="D65" s="11" t="s">
        <v>21</v>
      </c>
      <c r="E65" s="11" t="s">
        <v>4</v>
      </c>
      <c r="F65" s="13" t="s">
        <v>6</v>
      </c>
    </row>
    <row r="66" spans="1:8" ht="15" thickBot="1" x14ac:dyDescent="0.35">
      <c r="A66" s="31" t="s">
        <v>41</v>
      </c>
      <c r="B66" s="31"/>
      <c r="C66" s="38">
        <v>0</v>
      </c>
      <c r="D66" s="38">
        <v>0.67012428569917826</v>
      </c>
      <c r="E66" s="38">
        <v>0.20162295673244032</v>
      </c>
      <c r="F66" s="38">
        <v>0.97939328849315599</v>
      </c>
    </row>
    <row r="67" spans="1:8" x14ac:dyDescent="0.3">
      <c r="A67" s="26" t="s">
        <v>77</v>
      </c>
      <c r="B67" s="26"/>
      <c r="C67" s="29">
        <v>0.35306040356711754</v>
      </c>
      <c r="D67" s="29">
        <v>0.36275102232078404</v>
      </c>
      <c r="E67" s="29">
        <v>0.12887594358852156</v>
      </c>
      <c r="F67" s="29">
        <v>0.5452567981080112</v>
      </c>
    </row>
    <row r="71" spans="1:8" ht="29.4" thickBot="1" x14ac:dyDescent="0.35">
      <c r="A71" t="s">
        <v>78</v>
      </c>
      <c r="C71" s="11" t="s">
        <v>62</v>
      </c>
      <c r="D71" s="11" t="s">
        <v>21</v>
      </c>
    </row>
    <row r="72" spans="1:8" ht="15" thickBot="1" x14ac:dyDescent="0.35">
      <c r="A72" s="42" t="s">
        <v>49</v>
      </c>
      <c r="B72" s="42"/>
      <c r="C72" s="43">
        <v>0.81221432456296339</v>
      </c>
      <c r="D72" s="43">
        <v>0.13041320790710714</v>
      </c>
    </row>
    <row r="73" spans="1:8" x14ac:dyDescent="0.3">
      <c r="A73" t="s">
        <v>33</v>
      </c>
      <c r="C73" s="19">
        <v>0</v>
      </c>
      <c r="D73" s="19">
        <v>0.42413065644347309</v>
      </c>
    </row>
    <row r="74" spans="1:8" ht="15" thickBot="1" x14ac:dyDescent="0.35">
      <c r="A74" s="31" t="s">
        <v>41</v>
      </c>
      <c r="B74" s="31"/>
      <c r="C74" s="38">
        <v>0.67012428569917826</v>
      </c>
      <c r="D74" s="38">
        <v>0</v>
      </c>
    </row>
    <row r="75" spans="1:8" ht="15" thickBot="1" x14ac:dyDescent="0.35">
      <c r="A75" s="26" t="s">
        <v>77</v>
      </c>
      <c r="B75" s="26"/>
      <c r="C75" s="29">
        <v>0.36275102232078404</v>
      </c>
      <c r="D75" s="29">
        <v>0.35306040356711754</v>
      </c>
    </row>
    <row r="76" spans="1:8" ht="15" thickBot="1" x14ac:dyDescent="0.35">
      <c r="A76" t="s">
        <v>46</v>
      </c>
      <c r="C76" s="41">
        <v>0.75303917993865788</v>
      </c>
      <c r="D76" s="41">
        <v>0.11472533125867505</v>
      </c>
    </row>
    <row r="77" spans="1:8" ht="15" thickBot="1" x14ac:dyDescent="0.35">
      <c r="A77" t="s">
        <v>79</v>
      </c>
      <c r="C77" s="37">
        <v>0.83673433770458827</v>
      </c>
      <c r="D77" s="37">
        <v>0.109952311488223</v>
      </c>
    </row>
    <row r="79" spans="1:8" ht="15" thickBot="1" x14ac:dyDescent="0.35"/>
    <row r="80" spans="1:8" ht="15" thickBot="1" x14ac:dyDescent="0.35">
      <c r="A80" t="s">
        <v>78</v>
      </c>
      <c r="C80" s="42" t="s">
        <v>49</v>
      </c>
      <c r="D80" t="s">
        <v>33</v>
      </c>
      <c r="E80" s="31" t="s">
        <v>41</v>
      </c>
      <c r="F80" s="26" t="s">
        <v>77</v>
      </c>
      <c r="G80" t="s">
        <v>46</v>
      </c>
      <c r="H80" t="s">
        <v>79</v>
      </c>
    </row>
    <row r="81" spans="1:8" ht="29.4" thickBot="1" x14ac:dyDescent="0.35">
      <c r="A81" s="11" t="s">
        <v>62</v>
      </c>
      <c r="B81" s="11"/>
      <c r="C81" s="43">
        <v>0.13041320790710714</v>
      </c>
      <c r="D81" s="19">
        <v>0.42413065644347309</v>
      </c>
      <c r="E81" s="38">
        <v>0</v>
      </c>
      <c r="F81" s="29">
        <v>0.35306040356711754</v>
      </c>
      <c r="G81" s="41">
        <v>0.11472533125867505</v>
      </c>
      <c r="H81" s="37">
        <v>0.109952311488223</v>
      </c>
    </row>
    <row r="82" spans="1:8" ht="15" thickBot="1" x14ac:dyDescent="0.35">
      <c r="A82" s="11" t="s">
        <v>21</v>
      </c>
      <c r="B82" s="11"/>
      <c r="C82" s="43">
        <v>0.81221432456296339</v>
      </c>
      <c r="D82" s="19">
        <v>0</v>
      </c>
      <c r="E82" s="38">
        <v>0.67012428569917826</v>
      </c>
      <c r="F82" s="29">
        <v>0.36275102232078404</v>
      </c>
      <c r="G82" s="41">
        <v>0.75303917993865788</v>
      </c>
      <c r="H82" s="37">
        <v>0.83673433770458827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E24A-93FA-4993-941E-53719E71CDBE}">
  <dimension ref="A1:D31"/>
  <sheetViews>
    <sheetView topLeftCell="A6" zoomScaleNormal="100" workbookViewId="0">
      <selection activeCell="E33" sqref="E33"/>
    </sheetView>
  </sheetViews>
  <sheetFormatPr defaultRowHeight="14.4" x14ac:dyDescent="0.3"/>
  <cols>
    <col min="1" max="1" width="25.21875" customWidth="1"/>
    <col min="2" max="2" width="18.77734375" customWidth="1"/>
    <col min="3" max="3" width="16" customWidth="1"/>
    <col min="4" max="4" width="15.44140625" customWidth="1"/>
  </cols>
  <sheetData>
    <row r="1" spans="1:4" ht="29.4" thickBot="1" x14ac:dyDescent="0.35">
      <c r="A1" s="10" t="s">
        <v>81</v>
      </c>
      <c r="B1" s="10" t="s">
        <v>30</v>
      </c>
      <c r="C1" s="11" t="s">
        <v>62</v>
      </c>
      <c r="D1" s="11" t="s">
        <v>21</v>
      </c>
    </row>
    <row r="2" spans="1:4" x14ac:dyDescent="0.3">
      <c r="A2" s="48">
        <v>5</v>
      </c>
      <c r="B2" s="48" t="s">
        <v>49</v>
      </c>
      <c r="C2" s="45">
        <v>1.3025533130761597E-5</v>
      </c>
      <c r="D2" s="45">
        <v>0.68765294755401618</v>
      </c>
    </row>
    <row r="3" spans="1:4" x14ac:dyDescent="0.3">
      <c r="A3" s="48">
        <v>10</v>
      </c>
      <c r="B3" s="48" t="s">
        <v>49</v>
      </c>
      <c r="C3" s="45">
        <v>0</v>
      </c>
      <c r="D3" s="45">
        <v>0.75656230685611514</v>
      </c>
    </row>
    <row r="4" spans="1:4" x14ac:dyDescent="0.3">
      <c r="A4" s="48">
        <v>20</v>
      </c>
      <c r="B4" s="48" t="s">
        <v>49</v>
      </c>
      <c r="C4" s="45">
        <v>0</v>
      </c>
      <c r="D4" s="45">
        <v>0.77451379255702046</v>
      </c>
    </row>
    <row r="5" spans="1:4" x14ac:dyDescent="0.3">
      <c r="A5" s="48">
        <v>50</v>
      </c>
      <c r="B5" s="48" t="s">
        <v>49</v>
      </c>
      <c r="C5" s="45">
        <v>0</v>
      </c>
      <c r="D5" s="45">
        <v>0.66555190614114168</v>
      </c>
    </row>
    <row r="6" spans="1:4" x14ac:dyDescent="0.3">
      <c r="A6" s="48">
        <v>108</v>
      </c>
      <c r="B6" s="48" t="s">
        <v>49</v>
      </c>
      <c r="C6" s="45">
        <v>0.13041320790710714</v>
      </c>
      <c r="D6" s="45">
        <v>0.81221432456296339</v>
      </c>
    </row>
    <row r="7" spans="1:4" x14ac:dyDescent="0.3">
      <c r="A7" s="17">
        <v>5</v>
      </c>
      <c r="B7" s="17" t="s">
        <v>33</v>
      </c>
      <c r="C7" s="19">
        <v>0.33153970763087259</v>
      </c>
      <c r="D7" s="19">
        <v>0</v>
      </c>
    </row>
    <row r="8" spans="1:4" x14ac:dyDescent="0.3">
      <c r="A8" s="17">
        <v>10</v>
      </c>
      <c r="B8" s="17" t="s">
        <v>33</v>
      </c>
      <c r="C8" s="19">
        <v>0.33679310753941516</v>
      </c>
      <c r="D8" s="19">
        <v>0</v>
      </c>
    </row>
    <row r="9" spans="1:4" x14ac:dyDescent="0.3">
      <c r="A9" s="17">
        <v>20</v>
      </c>
      <c r="B9" s="17" t="s">
        <v>33</v>
      </c>
      <c r="C9" s="19">
        <v>0.33764468819778493</v>
      </c>
      <c r="D9" s="19">
        <v>0</v>
      </c>
    </row>
    <row r="10" spans="1:4" x14ac:dyDescent="0.3">
      <c r="A10" s="17">
        <v>50</v>
      </c>
      <c r="B10" s="17" t="s">
        <v>33</v>
      </c>
      <c r="C10" s="19">
        <v>0.44481618204542084</v>
      </c>
      <c r="D10" s="19">
        <v>0</v>
      </c>
    </row>
    <row r="11" spans="1:4" x14ac:dyDescent="0.3">
      <c r="A11" s="17">
        <v>108</v>
      </c>
      <c r="B11" s="17" t="s">
        <v>33</v>
      </c>
      <c r="C11" s="49">
        <v>0.70172176038225409</v>
      </c>
      <c r="D11" s="49">
        <v>0</v>
      </c>
    </row>
    <row r="12" spans="1:4" x14ac:dyDescent="0.3">
      <c r="A12" s="26">
        <v>5</v>
      </c>
      <c r="B12" s="26" t="s">
        <v>77</v>
      </c>
      <c r="C12" s="28">
        <v>1.3040762123030919E-3</v>
      </c>
      <c r="D12" s="28">
        <v>0.3950809173008259</v>
      </c>
    </row>
    <row r="13" spans="1:4" x14ac:dyDescent="0.3">
      <c r="A13" s="26">
        <v>10</v>
      </c>
      <c r="B13" s="26" t="s">
        <v>77</v>
      </c>
      <c r="C13" s="28">
        <v>9.0138830794482087E-3</v>
      </c>
      <c r="D13" s="28">
        <v>0.35098729270619788</v>
      </c>
    </row>
    <row r="14" spans="1:4" x14ac:dyDescent="0.3">
      <c r="A14" s="26">
        <v>20</v>
      </c>
      <c r="B14" s="26" t="s">
        <v>77</v>
      </c>
      <c r="C14" s="28">
        <v>9.3502386789623051E-3</v>
      </c>
      <c r="D14" s="28">
        <v>0.46887751395115596</v>
      </c>
    </row>
    <row r="15" spans="1:4" x14ac:dyDescent="0.3">
      <c r="A15" s="26">
        <v>50</v>
      </c>
      <c r="B15" s="26" t="s">
        <v>77</v>
      </c>
      <c r="C15" s="28">
        <v>3.0241577272818083E-2</v>
      </c>
      <c r="D15" s="28">
        <v>0.5925326498655934</v>
      </c>
    </row>
    <row r="16" spans="1:4" x14ac:dyDescent="0.3">
      <c r="A16" s="26">
        <v>108</v>
      </c>
      <c r="B16" s="26" t="s">
        <v>77</v>
      </c>
      <c r="C16" s="29">
        <v>0.35306040356711754</v>
      </c>
      <c r="D16" s="29">
        <v>0.36275102232078404</v>
      </c>
    </row>
    <row r="19" spans="1:4" x14ac:dyDescent="0.3">
      <c r="A19" t="s">
        <v>93</v>
      </c>
      <c r="B19" s="26" t="s">
        <v>49</v>
      </c>
      <c r="C19" t="s">
        <v>33</v>
      </c>
      <c r="D19" t="s">
        <v>77</v>
      </c>
    </row>
    <row r="20" spans="1:4" x14ac:dyDescent="0.3">
      <c r="A20" s="48">
        <v>5</v>
      </c>
      <c r="B20" s="45">
        <v>1.3025533130761597E-5</v>
      </c>
      <c r="C20" s="19">
        <v>0.33153970763087259</v>
      </c>
      <c r="D20" s="28">
        <v>1.3040762123030919E-3</v>
      </c>
    </row>
    <row r="21" spans="1:4" x14ac:dyDescent="0.3">
      <c r="A21" s="48">
        <v>10</v>
      </c>
      <c r="B21" s="45">
        <v>0</v>
      </c>
      <c r="C21" s="19">
        <v>0.33679310753941516</v>
      </c>
      <c r="D21" s="28">
        <v>9.0138830794482087E-3</v>
      </c>
    </row>
    <row r="22" spans="1:4" x14ac:dyDescent="0.3">
      <c r="A22" s="48">
        <v>20</v>
      </c>
      <c r="B22" s="45">
        <v>0</v>
      </c>
      <c r="C22" s="19">
        <v>0.33764468819778493</v>
      </c>
      <c r="D22" s="28">
        <v>9.3502386789623051E-3</v>
      </c>
    </row>
    <row r="23" spans="1:4" x14ac:dyDescent="0.3">
      <c r="A23" s="48">
        <v>50</v>
      </c>
      <c r="B23" s="45">
        <v>0</v>
      </c>
      <c r="C23" s="19">
        <v>0.44481618204542084</v>
      </c>
      <c r="D23" s="28">
        <v>3.0241577272818083E-2</v>
      </c>
    </row>
    <row r="24" spans="1:4" x14ac:dyDescent="0.3">
      <c r="A24" s="48">
        <v>108</v>
      </c>
      <c r="B24" s="45">
        <v>0.13041320790710714</v>
      </c>
      <c r="C24" s="49">
        <v>0.70172176038225409</v>
      </c>
      <c r="D24" s="29">
        <v>0.35306040356711754</v>
      </c>
    </row>
    <row r="26" spans="1:4" x14ac:dyDescent="0.3">
      <c r="A26" t="s">
        <v>93</v>
      </c>
      <c r="B26" s="26" t="s">
        <v>49</v>
      </c>
      <c r="C26" t="s">
        <v>33</v>
      </c>
      <c r="D26" t="s">
        <v>77</v>
      </c>
    </row>
    <row r="27" spans="1:4" x14ac:dyDescent="0.3">
      <c r="A27" s="48">
        <v>5</v>
      </c>
      <c r="B27" s="45">
        <v>0.68765294755401618</v>
      </c>
      <c r="C27" s="19">
        <v>0</v>
      </c>
      <c r="D27" s="28">
        <v>0.3950809173008259</v>
      </c>
    </row>
    <row r="28" spans="1:4" x14ac:dyDescent="0.3">
      <c r="A28" s="48">
        <v>10</v>
      </c>
      <c r="B28" s="45">
        <v>0.75656230685611514</v>
      </c>
      <c r="C28" s="19">
        <v>0</v>
      </c>
      <c r="D28" s="28">
        <v>0.35098729270619788</v>
      </c>
    </row>
    <row r="29" spans="1:4" x14ac:dyDescent="0.3">
      <c r="A29" s="48">
        <v>20</v>
      </c>
      <c r="B29" s="45">
        <v>0.77451379255702046</v>
      </c>
      <c r="C29" s="19">
        <v>0</v>
      </c>
      <c r="D29" s="28">
        <v>0.46887751395115596</v>
      </c>
    </row>
    <row r="30" spans="1:4" x14ac:dyDescent="0.3">
      <c r="A30" s="48">
        <v>50</v>
      </c>
      <c r="B30" s="45">
        <v>0.66555190614114168</v>
      </c>
      <c r="C30" s="19">
        <v>0</v>
      </c>
      <c r="D30" s="28">
        <v>0.5925326498655934</v>
      </c>
    </row>
    <row r="31" spans="1:4" x14ac:dyDescent="0.3">
      <c r="A31" s="48">
        <v>108</v>
      </c>
      <c r="B31" s="45">
        <v>0.81221432456296339</v>
      </c>
      <c r="C31" s="49">
        <v>0</v>
      </c>
      <c r="D31" s="29">
        <v>0.36275102232078404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43D5-767F-46A8-9C1B-0899733FE1D9}">
  <dimension ref="A1:C9"/>
  <sheetViews>
    <sheetView workbookViewId="0">
      <selection activeCell="E2" sqref="E2"/>
    </sheetView>
  </sheetViews>
  <sheetFormatPr defaultRowHeight="14.4" x14ac:dyDescent="0.3"/>
  <cols>
    <col min="2" max="2" width="23.6640625" customWidth="1"/>
    <col min="3" max="3" width="37" customWidth="1"/>
  </cols>
  <sheetData>
    <row r="1" spans="1:3" x14ac:dyDescent="0.3">
      <c r="A1" t="s">
        <v>32</v>
      </c>
      <c r="B1" s="5" t="s">
        <v>65</v>
      </c>
      <c r="C1" s="50" t="s">
        <v>64</v>
      </c>
    </row>
    <row r="2" spans="1:3" x14ac:dyDescent="0.3">
      <c r="A2" t="s">
        <v>35</v>
      </c>
      <c r="B2" t="s">
        <v>66</v>
      </c>
      <c r="C2" s="51">
        <v>4.09570079916328E-2</v>
      </c>
    </row>
    <row r="3" spans="1:3" x14ac:dyDescent="0.3">
      <c r="B3" t="s">
        <v>67</v>
      </c>
      <c r="C3" s="51">
        <v>4.2534859779233797E-2</v>
      </c>
    </row>
    <row r="4" spans="1:3" x14ac:dyDescent="0.3">
      <c r="B4" t="s">
        <v>68</v>
      </c>
      <c r="C4" s="51">
        <v>0.23941292433981201</v>
      </c>
    </row>
    <row r="5" spans="1:3" x14ac:dyDescent="0.3">
      <c r="B5" t="s">
        <v>69</v>
      </c>
      <c r="C5" s="51">
        <v>0.12429498195396101</v>
      </c>
    </row>
    <row r="6" spans="1:3" x14ac:dyDescent="0.3">
      <c r="A6" t="s">
        <v>40</v>
      </c>
      <c r="B6" t="s">
        <v>70</v>
      </c>
      <c r="C6" s="51">
        <v>0.243273645003728</v>
      </c>
    </row>
    <row r="7" spans="1:3" x14ac:dyDescent="0.3">
      <c r="B7" t="s">
        <v>71</v>
      </c>
      <c r="C7" s="51">
        <v>0.111449750583911</v>
      </c>
    </row>
    <row r="8" spans="1:3" x14ac:dyDescent="0.3">
      <c r="B8" t="s">
        <v>72</v>
      </c>
      <c r="C8" s="51">
        <v>2.32723264233698E-2</v>
      </c>
    </row>
    <row r="9" spans="1:3" x14ac:dyDescent="0.3">
      <c r="B9" t="s">
        <v>73</v>
      </c>
      <c r="C9" s="51">
        <v>4.4738194384700801E-2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904E-093E-4374-A5D8-559B02386645}">
  <dimension ref="A1:L139"/>
  <sheetViews>
    <sheetView tabSelected="1" topLeftCell="A145" workbookViewId="0">
      <selection activeCell="L138" sqref="L138"/>
    </sheetView>
  </sheetViews>
  <sheetFormatPr defaultRowHeight="14.4" x14ac:dyDescent="0.3"/>
  <cols>
    <col min="1" max="1" width="18.21875" style="3" bestFit="1" customWidth="1"/>
    <col min="2" max="2" width="9.44140625" bestFit="1" customWidth="1"/>
    <col min="3" max="3" width="14.6640625" bestFit="1" customWidth="1"/>
    <col min="4" max="4" width="11.33203125" bestFit="1" customWidth="1"/>
    <col min="5" max="5" width="7.6640625" bestFit="1" customWidth="1"/>
    <col min="6" max="6" width="11.33203125" bestFit="1" customWidth="1"/>
    <col min="7" max="7" width="14.6640625" bestFit="1" customWidth="1"/>
    <col min="8" max="8" width="11.88671875" bestFit="1" customWidth="1"/>
    <col min="9" max="9" width="11.88671875" customWidth="1"/>
    <col min="10" max="10" width="9.5546875" bestFit="1" customWidth="1"/>
    <col min="11" max="11" width="7.88671875" bestFit="1" customWidth="1"/>
    <col min="12" max="12" width="13.88671875" bestFit="1" customWidth="1"/>
  </cols>
  <sheetData>
    <row r="1" spans="1:12" s="6" customFormat="1" x14ac:dyDescent="0.3">
      <c r="A1" s="59" t="s">
        <v>59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s="3" customFormat="1" ht="28.8" x14ac:dyDescent="0.3">
      <c r="B2" s="3" t="s">
        <v>0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4" t="s">
        <v>20</v>
      </c>
      <c r="I2" s="4" t="s">
        <v>28</v>
      </c>
      <c r="J2" s="4" t="s">
        <v>21</v>
      </c>
      <c r="K2" s="4" t="s">
        <v>4</v>
      </c>
      <c r="L2" s="4" t="s">
        <v>29</v>
      </c>
    </row>
    <row r="3" spans="1:12" x14ac:dyDescent="0.3">
      <c r="A3" t="s">
        <v>22</v>
      </c>
      <c r="B3" s="1">
        <v>0</v>
      </c>
      <c r="C3" s="1">
        <v>0.67403375357389395</v>
      </c>
      <c r="D3" s="1">
        <v>0.67403375357389395</v>
      </c>
      <c r="E3" s="1">
        <v>0.67403375357389395</v>
      </c>
      <c r="F3" s="1">
        <v>0.67403375357389395</v>
      </c>
      <c r="G3" s="1">
        <v>0.67403375357389395</v>
      </c>
      <c r="H3" s="1">
        <f>AVERAGE(C3:G3)</f>
        <v>0.67403375357389395</v>
      </c>
      <c r="I3" s="1"/>
      <c r="J3" s="1">
        <f>MAX(C3-G3, D3-G3,E3-G3,F3-G3)</f>
        <v>0</v>
      </c>
      <c r="K3" s="1"/>
    </row>
    <row r="4" spans="1:12" x14ac:dyDescent="0.3">
      <c r="A4" t="s">
        <v>23</v>
      </c>
      <c r="B4" s="1">
        <v>0</v>
      </c>
      <c r="C4" s="1">
        <v>0.14580901866823601</v>
      </c>
      <c r="D4" s="1">
        <v>0.585126131772995</v>
      </c>
      <c r="E4" s="1">
        <v>0.585126131772995</v>
      </c>
      <c r="F4" s="1">
        <v>0.585126131772995</v>
      </c>
      <c r="G4" s="1">
        <v>0.585126131772995</v>
      </c>
      <c r="H4" s="1">
        <f>AVERAGE(C4:G4)</f>
        <v>0.49726270915204324</v>
      </c>
      <c r="I4" s="1"/>
      <c r="J4" s="1">
        <f t="shared" ref="J4:J6" si="0">MAX(C4-G4, D4-G4,E4-G4,F4-G4)</f>
        <v>0</v>
      </c>
      <c r="K4" s="1">
        <f>C4</f>
        <v>0.14580901866823601</v>
      </c>
    </row>
    <row r="5" spans="1:12" x14ac:dyDescent="0.3">
      <c r="A5" t="s">
        <v>24</v>
      </c>
      <c r="B5" s="1">
        <v>0.68415092180172599</v>
      </c>
      <c r="C5" s="1">
        <v>0.25263169873505797</v>
      </c>
      <c r="D5" s="1">
        <v>0.22829007978240601</v>
      </c>
      <c r="E5" s="1">
        <v>0.78512955208619395</v>
      </c>
      <c r="F5" s="1">
        <v>0.78512955208619395</v>
      </c>
      <c r="G5" s="1">
        <v>0.78512955208619395</v>
      </c>
      <c r="H5" s="1">
        <f>AVERAGE(C5:G5)</f>
        <v>0.56726208695520919</v>
      </c>
      <c r="I5" s="1"/>
      <c r="J5" s="1">
        <f t="shared" si="0"/>
        <v>0</v>
      </c>
      <c r="K5" s="1">
        <f>AVERAGE(C5,D5)</f>
        <v>0.24046088925873199</v>
      </c>
    </row>
    <row r="6" spans="1:12" x14ac:dyDescent="0.3">
      <c r="A6" t="s">
        <v>25</v>
      </c>
      <c r="B6" s="1">
        <v>1.3723343806759601E-4</v>
      </c>
      <c r="C6" s="1">
        <v>2.2650978415109999E-4</v>
      </c>
      <c r="D6" s="1">
        <v>3.8813753841774598E-4</v>
      </c>
      <c r="E6" s="1">
        <v>3.3566139488054098E-4</v>
      </c>
      <c r="F6" s="1">
        <v>0.95271387696266097</v>
      </c>
      <c r="G6" s="1">
        <v>0.95271387696266097</v>
      </c>
      <c r="H6" s="1">
        <f>AVERAGE(C6:G6)</f>
        <v>0.38127561252855424</v>
      </c>
      <c r="I6" s="1"/>
      <c r="J6" s="1">
        <f t="shared" si="0"/>
        <v>0</v>
      </c>
      <c r="K6" s="1">
        <f>AVERAGE(C6, D6, E6)</f>
        <v>3.1676957248312899E-4</v>
      </c>
    </row>
    <row r="7" spans="1:12" x14ac:dyDescent="0.3">
      <c r="A7" t="s">
        <v>26</v>
      </c>
      <c r="B7" s="1">
        <v>0</v>
      </c>
      <c r="C7" s="1">
        <v>4.8849524755496497E-3</v>
      </c>
      <c r="D7" s="1">
        <v>3.7979113380060797E-2</v>
      </c>
      <c r="E7" s="1">
        <v>3.1865832230929903E-4</v>
      </c>
      <c r="F7" s="1">
        <v>1.3530561506437701E-3</v>
      </c>
      <c r="G7" s="1">
        <v>0.57938084999720196</v>
      </c>
      <c r="H7" s="1">
        <f>AVERAGE(C7:G7)</f>
        <v>0.12478332606515311</v>
      </c>
      <c r="I7" s="1"/>
      <c r="J7" s="1"/>
      <c r="K7" s="1">
        <f>AVERAGE(C7, D7, E7,F7)</f>
        <v>1.113394508214088E-2</v>
      </c>
    </row>
    <row r="8" spans="1:12" x14ac:dyDescent="0.3">
      <c r="A8" t="s">
        <v>1</v>
      </c>
      <c r="B8" s="1">
        <v>0.97939328849315599</v>
      </c>
      <c r="C8" s="1">
        <v>0.97939328849315599</v>
      </c>
      <c r="D8" s="1">
        <v>0.97939328849315599</v>
      </c>
      <c r="E8" s="1">
        <v>0.97939328849315599</v>
      </c>
      <c r="F8" s="1">
        <v>0.97939328849315599</v>
      </c>
      <c r="G8" s="1">
        <v>0.97939328849315599</v>
      </c>
      <c r="L8" s="2">
        <f>(B8-G8)/B8</f>
        <v>0</v>
      </c>
    </row>
    <row r="9" spans="1:12" s="5" customFormat="1" x14ac:dyDescent="0.3">
      <c r="A9" s="4" t="s">
        <v>5</v>
      </c>
      <c r="B9" s="2"/>
      <c r="C9" s="2"/>
      <c r="D9" s="2"/>
      <c r="E9" s="2"/>
      <c r="F9" s="2"/>
      <c r="G9" s="2"/>
      <c r="H9" s="2">
        <f>AVERAGE(H3:H7)</f>
        <v>0.44892349765497075</v>
      </c>
      <c r="I9" s="2">
        <f>AVERAGE(G3:G7)</f>
        <v>0.71527683287858923</v>
      </c>
      <c r="J9" s="2">
        <f>AVERAGE(J3:J6)</f>
        <v>0</v>
      </c>
      <c r="K9" s="2">
        <f>AVERAGE(K3:K8)</f>
        <v>9.9430155645398005E-2</v>
      </c>
    </row>
    <row r="11" spans="1:12" s="6" customFormat="1" x14ac:dyDescent="0.3">
      <c r="A11" s="59" t="s">
        <v>58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</row>
    <row r="12" spans="1:12" s="3" customFormat="1" ht="28.8" x14ac:dyDescent="0.3">
      <c r="B12" s="3" t="s">
        <v>0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4" t="s">
        <v>20</v>
      </c>
      <c r="I12" s="4" t="s">
        <v>28</v>
      </c>
      <c r="J12" s="4" t="s">
        <v>21</v>
      </c>
      <c r="K12" s="4" t="s">
        <v>4</v>
      </c>
      <c r="L12" s="4" t="s">
        <v>29</v>
      </c>
    </row>
    <row r="13" spans="1:12" x14ac:dyDescent="0.3">
      <c r="A13" t="s">
        <v>22</v>
      </c>
      <c r="B13" s="1">
        <v>0</v>
      </c>
      <c r="C13" s="1">
        <v>0.66454586883385902</v>
      </c>
      <c r="D13" s="1">
        <v>0.66454586883385902</v>
      </c>
      <c r="E13" s="1">
        <v>0.66454586883385902</v>
      </c>
      <c r="F13" s="1">
        <v>0.66454586883385902</v>
      </c>
      <c r="G13" s="1">
        <v>0.66454586883385902</v>
      </c>
      <c r="H13" s="1">
        <f>AVERAGE(C13:G13)</f>
        <v>0.66454586883385902</v>
      </c>
      <c r="I13" s="1"/>
      <c r="J13" s="1">
        <f>MAX(C13-G13, D13-G13,E13-G13,F13-G13)</f>
        <v>0</v>
      </c>
      <c r="K13" s="1"/>
    </row>
    <row r="14" spans="1:12" x14ac:dyDescent="0.3">
      <c r="A14" t="s">
        <v>23</v>
      </c>
      <c r="B14" s="1">
        <v>0</v>
      </c>
      <c r="C14" s="1">
        <v>0.168288319701484</v>
      </c>
      <c r="D14" s="1">
        <v>0.52738753333687705</v>
      </c>
      <c r="E14" s="1">
        <v>0.52738753333687705</v>
      </c>
      <c r="F14" s="1">
        <v>0.52738753333687705</v>
      </c>
      <c r="G14" s="1">
        <v>0.52738753333687705</v>
      </c>
      <c r="H14" s="1">
        <f>AVERAGE(C14:G14)</f>
        <v>0.4555676906097984</v>
      </c>
      <c r="I14" s="1"/>
      <c r="J14" s="1">
        <f t="shared" ref="J14:J16" si="1">MAX(C14-G14, D14-G14,E14-G14,F14-G14)</f>
        <v>0</v>
      </c>
      <c r="K14" s="1">
        <f>C14</f>
        <v>0.168288319701484</v>
      </c>
    </row>
    <row r="15" spans="1:12" x14ac:dyDescent="0.3">
      <c r="A15" t="s">
        <v>24</v>
      </c>
      <c r="B15" s="1">
        <v>0.68414774164557401</v>
      </c>
      <c r="C15" s="1">
        <v>0.29714708557973302</v>
      </c>
      <c r="D15" s="1">
        <v>0.47250588921209102</v>
      </c>
      <c r="E15" s="1">
        <v>0.77389889458815198</v>
      </c>
      <c r="F15" s="1">
        <v>0.77389889458815198</v>
      </c>
      <c r="G15" s="1">
        <v>0.77389889458815198</v>
      </c>
      <c r="H15" s="1">
        <f>AVERAGE(C15:G15)</f>
        <v>0.61826993171125599</v>
      </c>
      <c r="I15" s="1"/>
      <c r="J15" s="1">
        <f t="shared" si="1"/>
        <v>0</v>
      </c>
      <c r="K15" s="1">
        <f>AVERAGE(C15,D15)</f>
        <v>0.38482648739591202</v>
      </c>
    </row>
    <row r="16" spans="1:12" x14ac:dyDescent="0.3">
      <c r="A16" t="s">
        <v>25</v>
      </c>
      <c r="B16" s="1">
        <v>1.3734113525742901E-4</v>
      </c>
      <c r="C16" s="1">
        <v>2.1300794666482601E-4</v>
      </c>
      <c r="D16" s="1">
        <v>3.88123287545264E-4</v>
      </c>
      <c r="E16" s="1">
        <v>3.27238359209521E-4</v>
      </c>
      <c r="F16" s="1">
        <v>0.97102732459704</v>
      </c>
      <c r="G16" s="1">
        <v>0.97102732459704</v>
      </c>
      <c r="H16" s="1">
        <f>AVERAGE(C16:G16)</f>
        <v>0.38859660375749988</v>
      </c>
      <c r="I16" s="1"/>
      <c r="J16" s="1">
        <f t="shared" si="1"/>
        <v>0</v>
      </c>
      <c r="K16" s="1">
        <f>AVERAGE(C16, D16, E16)</f>
        <v>3.0945653113987037E-4</v>
      </c>
    </row>
    <row r="17" spans="1:12" x14ac:dyDescent="0.3">
      <c r="A17" t="s">
        <v>26</v>
      </c>
      <c r="B17" s="1">
        <v>0</v>
      </c>
      <c r="C17" s="1">
        <v>1.40023087151348E-2</v>
      </c>
      <c r="D17" s="1">
        <v>4.4119023766294597E-2</v>
      </c>
      <c r="E17" s="1">
        <v>4.7492511900296998E-4</v>
      </c>
      <c r="F17" s="1">
        <v>1.30424819265802E-3</v>
      </c>
      <c r="G17" s="1">
        <v>0.57174918055534296</v>
      </c>
      <c r="H17" s="1">
        <f>AVERAGE(C17:G17)</f>
        <v>0.12632993726968667</v>
      </c>
      <c r="I17" s="1"/>
      <c r="J17" s="1"/>
      <c r="K17" s="1">
        <f>AVERAGE(C17, D17, E17,F17)</f>
        <v>1.4975126448272596E-2</v>
      </c>
    </row>
    <row r="18" spans="1:12" x14ac:dyDescent="0.3">
      <c r="A18" t="s">
        <v>1</v>
      </c>
      <c r="B18" s="1">
        <v>0.97939257323741902</v>
      </c>
      <c r="C18" s="1">
        <v>0.97939257323741902</v>
      </c>
      <c r="D18" s="1">
        <v>0.97939257323741902</v>
      </c>
      <c r="E18" s="1">
        <v>0.97939257323741902</v>
      </c>
      <c r="F18" s="1">
        <v>0.97939257323741902</v>
      </c>
      <c r="G18" s="1">
        <v>0.97939257323741902</v>
      </c>
      <c r="L18" s="2">
        <f>(B18-G18)/B18</f>
        <v>0</v>
      </c>
    </row>
    <row r="19" spans="1:12" s="5" customFormat="1" x14ac:dyDescent="0.3">
      <c r="A19" s="4" t="s">
        <v>5</v>
      </c>
      <c r="B19" s="2"/>
      <c r="C19" s="2"/>
      <c r="D19" s="2"/>
      <c r="E19" s="2"/>
      <c r="F19" s="2"/>
      <c r="G19" s="2"/>
      <c r="H19" s="2">
        <f>AVERAGE(H13:H17)</f>
        <v>0.4506620064364199</v>
      </c>
      <c r="I19" s="2">
        <f>AVERAGE(G13:G17)</f>
        <v>0.70172176038225409</v>
      </c>
      <c r="J19" s="2">
        <f>AVERAGE(J13:J16)</f>
        <v>0</v>
      </c>
      <c r="K19" s="2">
        <f>AVERAGE(K13:K18)</f>
        <v>0.14209984751920213</v>
      </c>
    </row>
    <row r="21" spans="1:12" s="6" customFormat="1" x14ac:dyDescent="0.3">
      <c r="A21" s="59" t="s">
        <v>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s="3" customFormat="1" ht="28.8" x14ac:dyDescent="0.3">
      <c r="B22" s="3" t="s">
        <v>0</v>
      </c>
      <c r="C22" s="3" t="s">
        <v>22</v>
      </c>
      <c r="D22" s="3" t="s">
        <v>23</v>
      </c>
      <c r="E22" s="3" t="s">
        <v>24</v>
      </c>
      <c r="F22" s="3" t="s">
        <v>25</v>
      </c>
      <c r="G22" s="3" t="s">
        <v>26</v>
      </c>
      <c r="H22" s="4" t="s">
        <v>20</v>
      </c>
      <c r="I22" s="4" t="s">
        <v>28</v>
      </c>
      <c r="J22" s="4" t="s">
        <v>21</v>
      </c>
      <c r="K22" s="4" t="s">
        <v>4</v>
      </c>
      <c r="L22" s="4" t="s">
        <v>29</v>
      </c>
    </row>
    <row r="23" spans="1:12" x14ac:dyDescent="0.3">
      <c r="A23" t="s">
        <v>22</v>
      </c>
      <c r="B23" s="1">
        <v>0</v>
      </c>
      <c r="C23" s="1">
        <v>0.523455834637085</v>
      </c>
      <c r="D23" s="1">
        <v>0.523455834637085</v>
      </c>
      <c r="E23" s="1">
        <v>0.523455834637085</v>
      </c>
      <c r="F23" s="1">
        <v>0.523455834637085</v>
      </c>
      <c r="G23" s="1">
        <v>0.523455834637085</v>
      </c>
      <c r="H23" s="1">
        <f>AVERAGE(C23:G23)</f>
        <v>0.523455834637085</v>
      </c>
      <c r="I23" s="1"/>
      <c r="J23" s="1">
        <f>MAX(C23-G23, D23-G23,E23-G23,F23-G23)</f>
        <v>0</v>
      </c>
      <c r="K23" s="1"/>
    </row>
    <row r="24" spans="1:12" x14ac:dyDescent="0.3">
      <c r="A24" t="s">
        <v>23</v>
      </c>
      <c r="B24" s="1">
        <v>0</v>
      </c>
      <c r="C24" s="1">
        <v>0.261042675895926</v>
      </c>
      <c r="D24" s="1">
        <v>0.51553716758886903</v>
      </c>
      <c r="E24" s="1">
        <v>0.51553716758886903</v>
      </c>
      <c r="F24" s="1">
        <v>0.51553716758886903</v>
      </c>
      <c r="G24" s="1">
        <v>0.51553716758886903</v>
      </c>
      <c r="H24" s="1">
        <f>AVERAGE(C24:G24)</f>
        <v>0.46463826925028046</v>
      </c>
      <c r="I24" s="1"/>
      <c r="J24" s="1">
        <f t="shared" ref="J24:J26" si="2">MAX(C24-G24, D24-G24,E24-G24,F24-G24)</f>
        <v>0</v>
      </c>
      <c r="K24" s="1">
        <f>C24</f>
        <v>0.261042675895926</v>
      </c>
    </row>
    <row r="25" spans="1:12" x14ac:dyDescent="0.3">
      <c r="A25" t="s">
        <v>24</v>
      </c>
      <c r="B25" s="1">
        <v>0.68415092180172599</v>
      </c>
      <c r="C25" s="1">
        <v>0.59784298017620996</v>
      </c>
      <c r="D25" s="1">
        <v>0.48801220084230101</v>
      </c>
      <c r="E25" s="1">
        <v>0.74792718887329102</v>
      </c>
      <c r="F25" s="8">
        <v>0.74792718887329102</v>
      </c>
      <c r="G25" s="1">
        <v>0.74792718887329102</v>
      </c>
      <c r="H25" s="1">
        <f>AVERAGE(C25:G25)</f>
        <v>0.66592734952767674</v>
      </c>
      <c r="I25" s="1"/>
      <c r="J25" s="1">
        <f t="shared" si="2"/>
        <v>0</v>
      </c>
      <c r="K25" s="1">
        <f>AVERAGE(C25,D25)</f>
        <v>0.54292759050925543</v>
      </c>
    </row>
    <row r="26" spans="1:12" x14ac:dyDescent="0.3">
      <c r="A26" t="s">
        <v>25</v>
      </c>
      <c r="B26" s="1">
        <v>1.3723343806759601E-4</v>
      </c>
      <c r="C26" s="1">
        <v>4.5324461340593699E-4</v>
      </c>
      <c r="D26" s="1">
        <v>3.96658207440244E-4</v>
      </c>
      <c r="E26" s="1">
        <v>2.8502551883017598E-4</v>
      </c>
      <c r="F26" s="1">
        <v>0.98011014362176196</v>
      </c>
      <c r="G26" s="1">
        <v>0.98011014362176196</v>
      </c>
      <c r="H26" s="1">
        <f>AVERAGE(C26:G26)</f>
        <v>0.39227104311664007</v>
      </c>
      <c r="I26" s="1"/>
      <c r="J26" s="1">
        <f t="shared" si="2"/>
        <v>0</v>
      </c>
      <c r="K26" s="1">
        <f>AVERAGE(C26, D26, E26)</f>
        <v>3.7830944655878568E-4</v>
      </c>
    </row>
    <row r="27" spans="1:12" x14ac:dyDescent="0.3">
      <c r="A27" t="s">
        <v>26</v>
      </c>
      <c r="B27" s="1">
        <v>0</v>
      </c>
      <c r="C27" s="1">
        <v>2.90245968329448E-2</v>
      </c>
      <c r="D27" s="1">
        <v>7.7023197733069496E-2</v>
      </c>
      <c r="E27" s="1">
        <v>2.5800891065349098E-4</v>
      </c>
      <c r="F27" s="1">
        <v>1.2870723755137601E-3</v>
      </c>
      <c r="G27" s="1">
        <v>0.52579400564233403</v>
      </c>
      <c r="H27" s="1">
        <f>AVERAGE(C27:G27)</f>
        <v>0.12667737629890313</v>
      </c>
      <c r="I27" s="1"/>
      <c r="J27" s="1"/>
      <c r="K27" s="1">
        <f>AVERAGE(C27, D27, E27,F27)</f>
        <v>2.6898218963045385E-2</v>
      </c>
    </row>
    <row r="28" spans="1:12" x14ac:dyDescent="0.3">
      <c r="A28" t="s">
        <v>1</v>
      </c>
      <c r="B28" s="1">
        <v>0.97939328849315599</v>
      </c>
      <c r="C28" s="1">
        <v>0.97939328849315599</v>
      </c>
      <c r="D28" s="1">
        <v>0.97939328849315599</v>
      </c>
      <c r="E28" s="1">
        <v>0.97939328849315599</v>
      </c>
      <c r="F28" s="1">
        <v>0.97939328849315599</v>
      </c>
      <c r="G28" s="1">
        <v>0.97939328849315599</v>
      </c>
      <c r="L28" s="2">
        <f>(B28-G28)/B28</f>
        <v>0</v>
      </c>
    </row>
    <row r="29" spans="1:12" s="5" customFormat="1" x14ac:dyDescent="0.3">
      <c r="A29" s="4" t="s">
        <v>5</v>
      </c>
      <c r="B29" s="2"/>
      <c r="C29" s="2"/>
      <c r="D29" s="2"/>
      <c r="E29" s="2"/>
      <c r="F29" s="2"/>
      <c r="G29" s="2"/>
      <c r="H29" s="2">
        <f>AVERAGE(H23:H27)</f>
        <v>0.43459397456611704</v>
      </c>
      <c r="I29" s="2">
        <f>AVERAGE(G23:G27)</f>
        <v>0.65856486807266823</v>
      </c>
      <c r="J29" s="2">
        <f>AVERAGE(J23:J26)</f>
        <v>0</v>
      </c>
      <c r="K29" s="2">
        <f>AVERAGE(K23:K28)</f>
        <v>0.2078116987036964</v>
      </c>
    </row>
    <row r="31" spans="1:12" s="5" customFormat="1" x14ac:dyDescent="0.3">
      <c r="A31" s="59" t="s">
        <v>3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</row>
    <row r="32" spans="1:12" s="3" customFormat="1" ht="28.8" x14ac:dyDescent="0.3">
      <c r="B32" s="3" t="s">
        <v>0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26</v>
      </c>
      <c r="H32" s="4" t="s">
        <v>20</v>
      </c>
      <c r="I32" s="4" t="s">
        <v>28</v>
      </c>
      <c r="J32" s="4" t="s">
        <v>21</v>
      </c>
      <c r="K32" s="4" t="s">
        <v>4</v>
      </c>
      <c r="L32" s="4" t="s">
        <v>29</v>
      </c>
    </row>
    <row r="33" spans="1:12" x14ac:dyDescent="0.3">
      <c r="A33" t="s">
        <v>22</v>
      </c>
      <c r="B33" s="1">
        <v>0</v>
      </c>
      <c r="C33" s="1">
        <v>0.30947349717219602</v>
      </c>
      <c r="D33" s="1">
        <v>0.30947349717219602</v>
      </c>
      <c r="E33" s="1">
        <v>0.30947349717219602</v>
      </c>
      <c r="F33" s="1">
        <v>0.30947349717219602</v>
      </c>
      <c r="G33" s="1">
        <v>0.30947349717219602</v>
      </c>
      <c r="H33" s="1">
        <f>AVERAGE(C33:G33)</f>
        <v>0.30947349717219602</v>
      </c>
      <c r="I33" s="1"/>
      <c r="J33" s="1">
        <f>MAX(C33-G33, D33-G33,E33-G33,F33-G33)</f>
        <v>0</v>
      </c>
      <c r="K33" s="1"/>
    </row>
    <row r="34" spans="1:12" x14ac:dyDescent="0.3">
      <c r="A34" t="s">
        <v>23</v>
      </c>
      <c r="B34" s="1">
        <v>0</v>
      </c>
      <c r="C34" s="1">
        <v>0.21143842946427499</v>
      </c>
      <c r="D34" s="1">
        <v>0.48437465478976499</v>
      </c>
      <c r="E34" s="1">
        <v>0.48437465478976499</v>
      </c>
      <c r="F34" s="1">
        <v>0.48437465478976499</v>
      </c>
      <c r="G34" s="1">
        <v>0.48437465478976499</v>
      </c>
      <c r="H34" s="1">
        <f>AVERAGE(C34:G34)</f>
        <v>0.42978740972466695</v>
      </c>
      <c r="I34" s="1"/>
      <c r="J34" s="1">
        <f t="shared" ref="J34:J36" si="3">MAX(C34-G34, D34-G34,E34-G34,F34-G34)</f>
        <v>0</v>
      </c>
      <c r="K34" s="1">
        <f>C34</f>
        <v>0.21143842946427499</v>
      </c>
    </row>
    <row r="35" spans="1:12" x14ac:dyDescent="0.3">
      <c r="A35" t="s">
        <v>24</v>
      </c>
      <c r="B35" s="1">
        <v>0.68415092180172599</v>
      </c>
      <c r="C35" s="1">
        <v>0.65007664263248399</v>
      </c>
      <c r="D35" s="1">
        <v>0.54910659417509999</v>
      </c>
      <c r="E35" s="1">
        <v>0.73734103888273195</v>
      </c>
      <c r="F35" s="8">
        <v>0.73734103888273195</v>
      </c>
      <c r="G35" s="1">
        <v>0.73734103888273195</v>
      </c>
      <c r="H35" s="1">
        <f>AVERAGE(C35:G35)</f>
        <v>0.68224127069115592</v>
      </c>
      <c r="I35" s="1"/>
      <c r="J35" s="1">
        <f t="shared" si="3"/>
        <v>0</v>
      </c>
      <c r="K35" s="1">
        <f>AVERAGE(C35,D35)</f>
        <v>0.59959161840379194</v>
      </c>
    </row>
    <row r="36" spans="1:12" x14ac:dyDescent="0.3">
      <c r="A36" t="s">
        <v>25</v>
      </c>
      <c r="B36" s="1">
        <v>1.3723343806759601E-4</v>
      </c>
      <c r="C36" s="1">
        <v>9.0840082884824304E-4</v>
      </c>
      <c r="D36" s="1">
        <v>4.4232470463612101E-4</v>
      </c>
      <c r="E36" s="1">
        <v>2.8778865392571997E-4</v>
      </c>
      <c r="F36" s="1">
        <v>0.97618629535039203</v>
      </c>
      <c r="G36" s="1">
        <v>0.97618629535039203</v>
      </c>
      <c r="H36" s="1">
        <f>AVERAGE(C36:G36)</f>
        <v>0.39080222097763884</v>
      </c>
      <c r="I36" s="1"/>
      <c r="J36" s="1">
        <f t="shared" si="3"/>
        <v>0</v>
      </c>
      <c r="K36" s="1">
        <f>AVERAGE(C36, D36, E36)</f>
        <v>5.4617139580336136E-4</v>
      </c>
    </row>
    <row r="37" spans="1:12" x14ac:dyDescent="0.3">
      <c r="A37" t="s">
        <v>26</v>
      </c>
      <c r="B37" s="1">
        <v>0</v>
      </c>
      <c r="C37" s="1">
        <v>4.1751399849696703E-2</v>
      </c>
      <c r="D37" s="1">
        <v>6.2113002786645603E-2</v>
      </c>
      <c r="E37" s="1">
        <v>4.3740913194293698E-4</v>
      </c>
      <c r="F37" s="1">
        <v>1.29248502829189E-3</v>
      </c>
      <c r="G37" s="1">
        <v>0.458208962033192</v>
      </c>
      <c r="H37" s="1">
        <f>AVERAGE(C37:G37)</f>
        <v>0.11276065176595382</v>
      </c>
      <c r="I37" s="1"/>
      <c r="J37" s="1"/>
      <c r="K37" s="1">
        <f>AVERAGE(C37, D37, E37,F37)</f>
        <v>2.6398574199144285E-2</v>
      </c>
    </row>
    <row r="38" spans="1:12" x14ac:dyDescent="0.3">
      <c r="A38" t="s">
        <v>1</v>
      </c>
      <c r="B38" s="1">
        <v>0.97939328849315599</v>
      </c>
      <c r="C38" s="1">
        <v>0.97939328849315599</v>
      </c>
      <c r="D38" s="1">
        <v>0.97939328849315599</v>
      </c>
      <c r="E38" s="1">
        <v>0.97939328849315599</v>
      </c>
      <c r="F38" s="1">
        <v>0.97939328849315599</v>
      </c>
      <c r="G38" s="1">
        <v>0.97939328849315599</v>
      </c>
      <c r="L38" s="2">
        <f>(B38-G38)/B38</f>
        <v>0</v>
      </c>
    </row>
    <row r="39" spans="1:12" s="5" customFormat="1" x14ac:dyDescent="0.3">
      <c r="A39" s="4" t="s">
        <v>5</v>
      </c>
      <c r="B39" s="2"/>
      <c r="C39" s="2"/>
      <c r="D39" s="2"/>
      <c r="E39" s="2"/>
      <c r="F39" s="2"/>
      <c r="G39" s="2"/>
      <c r="H39" s="2">
        <f>AVERAGE(H33:H37)</f>
        <v>0.38501301006632227</v>
      </c>
      <c r="I39" s="2">
        <f>AVERAGE(G33:G37)</f>
        <v>0.59311688964565534</v>
      </c>
      <c r="J39" s="2">
        <f>AVERAGE(J33:J36)</f>
        <v>0</v>
      </c>
      <c r="K39" s="2">
        <f>AVERAGE(K33:K38)</f>
        <v>0.20949369836575366</v>
      </c>
    </row>
    <row r="41" spans="1:12" s="5" customFormat="1" x14ac:dyDescent="0.3">
      <c r="A41" s="59" t="s">
        <v>7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</row>
    <row r="42" spans="1:12" s="3" customFormat="1" ht="28.8" x14ac:dyDescent="0.3">
      <c r="B42" s="3" t="s">
        <v>0</v>
      </c>
      <c r="C42" s="3" t="s">
        <v>22</v>
      </c>
      <c r="D42" s="3" t="s">
        <v>23</v>
      </c>
      <c r="E42" s="3" t="s">
        <v>24</v>
      </c>
      <c r="F42" s="3" t="s">
        <v>25</v>
      </c>
      <c r="G42" s="3" t="s">
        <v>26</v>
      </c>
      <c r="H42" s="4" t="s">
        <v>20</v>
      </c>
      <c r="I42" s="4" t="s">
        <v>28</v>
      </c>
      <c r="J42" s="4" t="s">
        <v>21</v>
      </c>
      <c r="K42" s="4" t="s">
        <v>4</v>
      </c>
      <c r="L42" s="4" t="s">
        <v>29</v>
      </c>
    </row>
    <row r="43" spans="1:12" x14ac:dyDescent="0.3">
      <c r="A43" t="s">
        <v>22</v>
      </c>
      <c r="B43" s="1">
        <v>0</v>
      </c>
      <c r="C43" s="1">
        <v>0.196520293141171</v>
      </c>
      <c r="D43" s="1">
        <v>0.196520293141171</v>
      </c>
      <c r="E43" s="1">
        <v>0.196520293141171</v>
      </c>
      <c r="F43" s="1">
        <v>0.196520293141171</v>
      </c>
      <c r="G43" s="1">
        <v>0.196520293141171</v>
      </c>
      <c r="H43" s="1">
        <f>AVERAGE(C43:G43)</f>
        <v>0.196520293141171</v>
      </c>
      <c r="I43" s="1"/>
      <c r="J43" s="1">
        <f>MAX(C43-G43, D43-G43,E43-G43,F43-G43)</f>
        <v>0</v>
      </c>
      <c r="K43" s="1"/>
    </row>
    <row r="44" spans="1:12" x14ac:dyDescent="0.3">
      <c r="A44" t="s">
        <v>23</v>
      </c>
      <c r="B44" s="1">
        <v>0</v>
      </c>
      <c r="C44" s="1">
        <v>0.15898388317630899</v>
      </c>
      <c r="D44" s="1">
        <v>0.39472780500848997</v>
      </c>
      <c r="E44" s="1">
        <v>0.39472780500848997</v>
      </c>
      <c r="F44" s="1">
        <v>0.39472780500848997</v>
      </c>
      <c r="G44" s="1">
        <v>0.39472780500848997</v>
      </c>
      <c r="H44" s="1">
        <f>AVERAGE(C44:G44)</f>
        <v>0.34757902064205376</v>
      </c>
      <c r="I44" s="1"/>
      <c r="J44" s="1">
        <f t="shared" ref="J44:J46" si="4">MAX(C44-G44, D44-G44,E44-G44,F44-G44)</f>
        <v>0</v>
      </c>
      <c r="K44" s="1">
        <f>C44</f>
        <v>0.15898388317630899</v>
      </c>
    </row>
    <row r="45" spans="1:12" x14ac:dyDescent="0.3">
      <c r="A45" t="s">
        <v>24</v>
      </c>
      <c r="B45" s="1">
        <v>0.68415092180172599</v>
      </c>
      <c r="C45" s="1">
        <v>0.65696307520071595</v>
      </c>
      <c r="D45" s="1">
        <v>0.65316268677512801</v>
      </c>
      <c r="E45" s="1">
        <v>0.722541693598032</v>
      </c>
      <c r="F45" s="8">
        <v>0.722541693598032</v>
      </c>
      <c r="G45" s="1">
        <v>0.722541693598032</v>
      </c>
      <c r="H45" s="1">
        <f>AVERAGE(C45:G45)</f>
        <v>0.69555016855398799</v>
      </c>
      <c r="I45" s="1"/>
      <c r="J45" s="1">
        <f t="shared" si="4"/>
        <v>0</v>
      </c>
      <c r="K45" s="1">
        <f>AVERAGE(C45,D45)</f>
        <v>0.65506288098792198</v>
      </c>
    </row>
    <row r="46" spans="1:12" x14ac:dyDescent="0.3">
      <c r="A46" t="s">
        <v>25</v>
      </c>
      <c r="B46" s="1">
        <v>1.3723343806759601E-4</v>
      </c>
      <c r="C46" s="1">
        <v>9.3531976805631201E-4</v>
      </c>
      <c r="D46" s="1">
        <v>4.7733487614702098E-4</v>
      </c>
      <c r="E46" s="1">
        <v>2.6431382832470198E-4</v>
      </c>
      <c r="F46" s="1">
        <v>0.99328813701868002</v>
      </c>
      <c r="G46" s="1">
        <v>0.99328813701868002</v>
      </c>
      <c r="H46" s="1">
        <f>AVERAGE(C46:G46)</f>
        <v>0.39765064850197762</v>
      </c>
      <c r="I46" s="1"/>
      <c r="J46" s="1">
        <f t="shared" si="4"/>
        <v>0</v>
      </c>
      <c r="K46" s="1">
        <f>AVERAGE(C46, D46, E46)</f>
        <v>5.5898949084267832E-4</v>
      </c>
    </row>
    <row r="47" spans="1:12" x14ac:dyDescent="0.3">
      <c r="A47" t="s">
        <v>26</v>
      </c>
      <c r="B47" s="1">
        <v>0</v>
      </c>
      <c r="C47" s="1">
        <v>2.7560726649729299E-2</v>
      </c>
      <c r="D47" s="1">
        <v>4.9843502789978303E-2</v>
      </c>
      <c r="E47" s="1">
        <v>3.2006590239082701E-4</v>
      </c>
      <c r="F47" s="1">
        <v>1.2547770917687199E-3</v>
      </c>
      <c r="G47" s="1">
        <v>0.34662241302430602</v>
      </c>
      <c r="H47" s="1">
        <f>AVERAGE(C47:G47)</f>
        <v>8.5120297091634628E-2</v>
      </c>
      <c r="I47" s="1"/>
      <c r="J47" s="1"/>
      <c r="K47" s="1">
        <f>AVERAGE(C47, D47, E47,F47)</f>
        <v>1.9744768108466784E-2</v>
      </c>
    </row>
    <row r="48" spans="1:12" x14ac:dyDescent="0.3">
      <c r="A48" t="s">
        <v>1</v>
      </c>
      <c r="B48" s="1">
        <v>0.97939328849315599</v>
      </c>
      <c r="C48" s="1">
        <v>0.97939328849315599</v>
      </c>
      <c r="D48" s="1">
        <v>0.97939328849315599</v>
      </c>
      <c r="E48" s="1">
        <v>0.97939328849315599</v>
      </c>
      <c r="F48" s="1">
        <v>0.97939328849315599</v>
      </c>
      <c r="G48" s="1">
        <v>0.97939328849315599</v>
      </c>
      <c r="L48" s="2">
        <f>(B48-G48)/B48</f>
        <v>0</v>
      </c>
    </row>
    <row r="49" spans="1:12" s="5" customFormat="1" x14ac:dyDescent="0.3">
      <c r="A49" s="4" t="s">
        <v>5</v>
      </c>
      <c r="B49" s="2"/>
      <c r="C49" s="2"/>
      <c r="D49" s="2"/>
      <c r="E49" s="2"/>
      <c r="F49" s="2"/>
      <c r="G49" s="2"/>
      <c r="H49" s="2">
        <f>AVERAGE(H43:H47)</f>
        <v>0.344484085586165</v>
      </c>
      <c r="I49" s="2">
        <f>AVERAGE(G43:G47)</f>
        <v>0.53074006835813581</v>
      </c>
      <c r="J49" s="2">
        <f>AVERAGE(J43:J46)</f>
        <v>0</v>
      </c>
      <c r="K49" s="2">
        <f>AVERAGE(K43:K48)</f>
        <v>0.2085876304408851</v>
      </c>
    </row>
    <row r="50" spans="1:12" x14ac:dyDescent="0.3">
      <c r="A50"/>
    </row>
    <row r="51" spans="1:12" s="5" customFormat="1" x14ac:dyDescent="0.3">
      <c r="A51" s="59" t="s">
        <v>8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</row>
    <row r="52" spans="1:12" s="3" customFormat="1" ht="28.8" x14ac:dyDescent="0.3">
      <c r="B52" s="3" t="s">
        <v>0</v>
      </c>
      <c r="C52" s="3" t="s">
        <v>22</v>
      </c>
      <c r="D52" s="3" t="s">
        <v>23</v>
      </c>
      <c r="E52" s="3" t="s">
        <v>24</v>
      </c>
      <c r="F52" s="3" t="s">
        <v>25</v>
      </c>
      <c r="G52" s="3" t="s">
        <v>26</v>
      </c>
      <c r="H52" s="4" t="s">
        <v>20</v>
      </c>
      <c r="I52" s="4" t="s">
        <v>28</v>
      </c>
      <c r="J52" s="4" t="s">
        <v>21</v>
      </c>
      <c r="K52" s="4" t="s">
        <v>4</v>
      </c>
      <c r="L52" s="4" t="s">
        <v>29</v>
      </c>
    </row>
    <row r="53" spans="1:12" x14ac:dyDescent="0.3">
      <c r="A53" t="s">
        <v>22</v>
      </c>
      <c r="B53" s="1">
        <v>0</v>
      </c>
      <c r="C53" s="1">
        <v>5.5426492055024298E-2</v>
      </c>
      <c r="D53" s="1">
        <v>5.5426492055024298E-2</v>
      </c>
      <c r="E53" s="1">
        <v>5.5426492055024298E-2</v>
      </c>
      <c r="F53" s="1">
        <v>5.5426492055024298E-2</v>
      </c>
      <c r="G53" s="1">
        <v>5.5426492055024298E-2</v>
      </c>
      <c r="H53" s="1">
        <f>AVERAGE(C53:G53)</f>
        <v>5.5426492055024298E-2</v>
      </c>
      <c r="I53" s="1"/>
      <c r="J53" s="1">
        <f>MAX(C53-G53, D53-G53,E53-G53,F53-G53)</f>
        <v>0</v>
      </c>
      <c r="K53" s="1"/>
    </row>
    <row r="54" spans="1:12" x14ac:dyDescent="0.3">
      <c r="A54" t="s">
        <v>23</v>
      </c>
      <c r="B54" s="1">
        <v>0</v>
      </c>
      <c r="C54" s="1">
        <v>5.45344855839478E-2</v>
      </c>
      <c r="D54" s="1">
        <v>0.24183607070396301</v>
      </c>
      <c r="E54" s="1">
        <v>0.24183607070396301</v>
      </c>
      <c r="F54" s="1">
        <v>0.24183607070396301</v>
      </c>
      <c r="G54" s="1">
        <v>0.24183607070396301</v>
      </c>
      <c r="H54" s="1">
        <f>AVERAGE(C54:G54)</f>
        <v>0.20437575367995997</v>
      </c>
      <c r="I54" s="1"/>
      <c r="J54" s="1">
        <f t="shared" ref="J54:J56" si="5">MAX(C54-G54, D54-G54,E54-G54,F54-G54)</f>
        <v>0</v>
      </c>
      <c r="K54" s="1">
        <f>C54</f>
        <v>5.45344855839478E-2</v>
      </c>
    </row>
    <row r="55" spans="1:12" x14ac:dyDescent="0.3">
      <c r="A55" t="s">
        <v>24</v>
      </c>
      <c r="B55" s="1">
        <v>0.68415092180172599</v>
      </c>
      <c r="C55" s="1">
        <v>0.68765560537576598</v>
      </c>
      <c r="D55" s="1">
        <v>0.68369843934972996</v>
      </c>
      <c r="E55" s="1">
        <v>0.71639659752448404</v>
      </c>
      <c r="F55" s="8">
        <v>0.71639659752448404</v>
      </c>
      <c r="G55" s="1">
        <v>0.71639659752448404</v>
      </c>
      <c r="H55" s="1">
        <f>AVERAGE(C55:G55)</f>
        <v>0.70410876745978968</v>
      </c>
      <c r="I55" s="1"/>
      <c r="J55" s="1">
        <f t="shared" si="5"/>
        <v>0</v>
      </c>
      <c r="K55" s="1">
        <f>AVERAGE(C55,D55)</f>
        <v>0.68567702236274797</v>
      </c>
    </row>
    <row r="56" spans="1:12" x14ac:dyDescent="0.3">
      <c r="A56" t="s">
        <v>25</v>
      </c>
      <c r="B56" s="1">
        <v>1.3723343806759601E-4</v>
      </c>
      <c r="C56" s="1">
        <v>4.6497720995830599E-4</v>
      </c>
      <c r="D56" s="1">
        <v>5.2811463751822798E-4</v>
      </c>
      <c r="E56" s="1">
        <v>2.5252509158235598E-4</v>
      </c>
      <c r="F56" s="1">
        <v>0.98835562666257204</v>
      </c>
      <c r="G56" s="1">
        <v>0.98835562666257204</v>
      </c>
      <c r="H56" s="1">
        <f>AVERAGE(C56:G56)</f>
        <v>0.39559137405284062</v>
      </c>
      <c r="I56" s="1"/>
      <c r="J56" s="1">
        <f t="shared" si="5"/>
        <v>0</v>
      </c>
      <c r="K56" s="1">
        <f>AVERAGE(C56, D56, E56)</f>
        <v>4.1520564635296337E-4</v>
      </c>
    </row>
    <row r="57" spans="1:12" x14ac:dyDescent="0.3">
      <c r="A57" t="s">
        <v>26</v>
      </c>
      <c r="B57" s="1">
        <v>0</v>
      </c>
      <c r="C57" s="1">
        <v>5.5576539640848398E-3</v>
      </c>
      <c r="D57" s="1">
        <v>3.52936685973569E-2</v>
      </c>
      <c r="E57" s="1">
        <v>1.7551476776134201E-4</v>
      </c>
      <c r="F57" s="1">
        <v>1.2635246675927101E-3</v>
      </c>
      <c r="G57" s="1">
        <v>0.274420363207658</v>
      </c>
      <c r="H57" s="1">
        <f>AVERAGE(C57:G57)</f>
        <v>6.3342145040890765E-2</v>
      </c>
      <c r="I57" s="1"/>
      <c r="J57" s="1"/>
      <c r="K57" s="1">
        <f>AVERAGE(C57, D57, E57,F57)</f>
        <v>1.0572590499198949E-2</v>
      </c>
    </row>
    <row r="58" spans="1:12" x14ac:dyDescent="0.3">
      <c r="A58" t="s">
        <v>1</v>
      </c>
      <c r="B58" s="1">
        <v>0.97939328849315599</v>
      </c>
      <c r="C58" s="1">
        <v>0.97939328849315599</v>
      </c>
      <c r="D58" s="1">
        <v>0.97939328849315599</v>
      </c>
      <c r="E58" s="1">
        <v>0.97939328849315599</v>
      </c>
      <c r="F58" s="1">
        <v>0.97939328849315599</v>
      </c>
      <c r="G58" s="1">
        <v>0.97939328849315599</v>
      </c>
      <c r="L58" s="2">
        <f>(B58-G58)/B58</f>
        <v>0</v>
      </c>
    </row>
    <row r="59" spans="1:12" s="5" customFormat="1" x14ac:dyDescent="0.3">
      <c r="A59" s="4" t="s">
        <v>5</v>
      </c>
      <c r="B59" s="2"/>
      <c r="C59" s="2"/>
      <c r="D59" s="2"/>
      <c r="E59" s="2"/>
      <c r="F59" s="2"/>
      <c r="G59" s="2"/>
      <c r="H59" s="2">
        <f>AVERAGE(H53:H57)</f>
        <v>0.28456890645770105</v>
      </c>
      <c r="I59" s="2">
        <f>AVERAGE(G53:G57)</f>
        <v>0.45528703003074023</v>
      </c>
      <c r="J59" s="2">
        <f>AVERAGE(J53:J56)</f>
        <v>0</v>
      </c>
      <c r="K59" s="2">
        <f>AVERAGE(K53:K58)</f>
        <v>0.18779982602306192</v>
      </c>
    </row>
    <row r="61" spans="1:12" s="5" customFormat="1" x14ac:dyDescent="0.3">
      <c r="A61" s="59" t="s">
        <v>9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</row>
    <row r="62" spans="1:12" s="3" customFormat="1" ht="28.8" x14ac:dyDescent="0.3">
      <c r="B62" s="3" t="s">
        <v>0</v>
      </c>
      <c r="C62" s="3" t="s">
        <v>22</v>
      </c>
      <c r="D62" s="3" t="s">
        <v>23</v>
      </c>
      <c r="E62" s="3" t="s">
        <v>24</v>
      </c>
      <c r="F62" s="3" t="s">
        <v>25</v>
      </c>
      <c r="G62" s="3" t="s">
        <v>26</v>
      </c>
      <c r="H62" s="4" t="s">
        <v>20</v>
      </c>
      <c r="I62" s="4" t="s">
        <v>28</v>
      </c>
      <c r="J62" s="4" t="s">
        <v>21</v>
      </c>
      <c r="K62" s="4" t="s">
        <v>4</v>
      </c>
      <c r="L62" s="4" t="s">
        <v>29</v>
      </c>
    </row>
    <row r="63" spans="1:12" x14ac:dyDescent="0.3">
      <c r="A63" t="s">
        <v>22</v>
      </c>
      <c r="B63" s="1">
        <v>0</v>
      </c>
      <c r="C63" s="1">
        <v>2.42298484342124E-2</v>
      </c>
      <c r="D63" s="1">
        <v>2.42298484342124E-2</v>
      </c>
      <c r="E63" s="1">
        <v>2.42298484342124E-2</v>
      </c>
      <c r="F63" s="1">
        <v>2.42298484342124E-2</v>
      </c>
      <c r="G63" s="1">
        <v>2.42298484342124E-2</v>
      </c>
      <c r="H63" s="1">
        <f>AVERAGE(C63:G63)</f>
        <v>2.42298484342124E-2</v>
      </c>
      <c r="I63" s="1"/>
      <c r="J63" s="1">
        <f>MAX(C63-G63, D63-G63,E63-G63,F63-G63)</f>
        <v>0</v>
      </c>
      <c r="K63" s="1"/>
    </row>
    <row r="64" spans="1:12" x14ac:dyDescent="0.3">
      <c r="A64" t="s">
        <v>23</v>
      </c>
      <c r="B64" s="1">
        <v>0</v>
      </c>
      <c r="C64" s="1">
        <v>2.4181982640584399E-2</v>
      </c>
      <c r="D64" s="1">
        <v>0.197545271134004</v>
      </c>
      <c r="E64" s="1">
        <v>0.197545271134004</v>
      </c>
      <c r="F64" s="1">
        <v>0.197545271134004</v>
      </c>
      <c r="G64" s="1">
        <v>0.197545271134004</v>
      </c>
      <c r="H64" s="1">
        <f>AVERAGE(C64:G64)</f>
        <v>0.16287261343532008</v>
      </c>
      <c r="I64" s="1"/>
      <c r="J64" s="1">
        <f t="shared" ref="J64:J66" si="6">MAX(C64-G64, D64-G64,E64-G64,F64-G64)</f>
        <v>0</v>
      </c>
      <c r="K64" s="1">
        <f>C64</f>
        <v>2.4181982640584399E-2</v>
      </c>
    </row>
    <row r="65" spans="1:12" x14ac:dyDescent="0.3">
      <c r="A65" t="s">
        <v>24</v>
      </c>
      <c r="B65" s="1">
        <v>0.68415092180172599</v>
      </c>
      <c r="C65" s="1">
        <v>0.69643946364521903</v>
      </c>
      <c r="D65" s="1">
        <v>0.68292353178064003</v>
      </c>
      <c r="E65" s="1">
        <v>0.71364465976754798</v>
      </c>
      <c r="F65" s="8">
        <v>0.71364465976754798</v>
      </c>
      <c r="G65" s="1">
        <v>0.71364465976754798</v>
      </c>
      <c r="H65" s="1">
        <f>AVERAGE(C65:G65)</f>
        <v>0.70405939494570069</v>
      </c>
      <c r="I65" s="1"/>
      <c r="J65" s="1">
        <f t="shared" si="6"/>
        <v>0</v>
      </c>
      <c r="K65" s="1">
        <f>AVERAGE(C65,D65)</f>
        <v>0.68968149771292953</v>
      </c>
    </row>
    <row r="66" spans="1:12" x14ac:dyDescent="0.3">
      <c r="A66" t="s">
        <v>25</v>
      </c>
      <c r="B66" s="1">
        <v>1.3723343806759601E-4</v>
      </c>
      <c r="C66" s="1">
        <v>3.5857279469079601E-4</v>
      </c>
      <c r="D66" s="1">
        <v>6.0480796461585297E-4</v>
      </c>
      <c r="E66" s="1">
        <v>2.4216475708271901E-4</v>
      </c>
      <c r="F66" s="1">
        <v>0.98733924577633503</v>
      </c>
      <c r="G66" s="1">
        <v>0.98733924577633503</v>
      </c>
      <c r="H66" s="1">
        <f>AVERAGE(C66:G66)</f>
        <v>0.39517680741381189</v>
      </c>
      <c r="I66" s="1"/>
      <c r="J66" s="1">
        <f t="shared" si="6"/>
        <v>0</v>
      </c>
      <c r="K66" s="1">
        <f>AVERAGE(C66, D66, E66)</f>
        <v>4.018485054631227E-4</v>
      </c>
    </row>
    <row r="67" spans="1:12" x14ac:dyDescent="0.3">
      <c r="A67" t="s">
        <v>26</v>
      </c>
      <c r="B67" s="1">
        <v>0</v>
      </c>
      <c r="C67" s="1">
        <v>3.0920208470585401E-3</v>
      </c>
      <c r="D67" s="1">
        <v>2.4026560124184401E-2</v>
      </c>
      <c r="E67" s="1">
        <v>1.06419994457003E-4</v>
      </c>
      <c r="F67" s="1">
        <v>1.2620427927079901E-3</v>
      </c>
      <c r="G67" s="1">
        <v>0.19789425710526601</v>
      </c>
      <c r="H67" s="1">
        <f>AVERAGE(C67:G67)</f>
        <v>4.527626017273479E-2</v>
      </c>
      <c r="I67" s="1"/>
      <c r="J67" s="1"/>
      <c r="K67" s="1">
        <f>AVERAGE(C67, D67, E67,F67)</f>
        <v>7.1217609396019834E-3</v>
      </c>
    </row>
    <row r="68" spans="1:12" x14ac:dyDescent="0.3">
      <c r="A68" t="s">
        <v>1</v>
      </c>
      <c r="B68" s="1">
        <v>0.97939328849315599</v>
      </c>
      <c r="C68" s="1">
        <v>0.97939328849315599</v>
      </c>
      <c r="D68" s="1">
        <v>0.97939328849315599</v>
      </c>
      <c r="E68" s="1">
        <v>0.97939328849315599</v>
      </c>
      <c r="F68" s="1">
        <v>0.97939328849315599</v>
      </c>
      <c r="G68" s="1">
        <v>0.97939328849315599</v>
      </c>
      <c r="L68" s="2">
        <f>(B68-G68)/B68</f>
        <v>0</v>
      </c>
    </row>
    <row r="69" spans="1:12" s="5" customFormat="1" x14ac:dyDescent="0.3">
      <c r="A69" s="4" t="s">
        <v>5</v>
      </c>
      <c r="B69" s="2"/>
      <c r="C69" s="2"/>
      <c r="D69" s="2"/>
      <c r="E69" s="2"/>
      <c r="F69" s="2"/>
      <c r="G69" s="2"/>
      <c r="H69" s="2">
        <f>AVERAGE(H63:H67)</f>
        <v>0.266322984880356</v>
      </c>
      <c r="I69" s="2">
        <f>AVERAGE(G63:G67)</f>
        <v>0.42413065644347309</v>
      </c>
      <c r="J69" s="2">
        <f>AVERAGE(J63:J66)</f>
        <v>0</v>
      </c>
      <c r="K69" s="2">
        <f>AVERAGE(K63:K68)</f>
        <v>0.18034677244964473</v>
      </c>
    </row>
    <row r="71" spans="1:12" s="7" customFormat="1" x14ac:dyDescent="0.3">
      <c r="A71" s="60" t="s">
        <v>10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</row>
    <row r="72" spans="1:12" s="3" customFormat="1" ht="28.8" x14ac:dyDescent="0.3">
      <c r="B72" s="3" t="s">
        <v>0</v>
      </c>
      <c r="C72" s="3" t="s">
        <v>26</v>
      </c>
      <c r="D72" s="3" t="s">
        <v>25</v>
      </c>
      <c r="E72" s="3" t="s">
        <v>24</v>
      </c>
      <c r="F72" s="3" t="s">
        <v>23</v>
      </c>
      <c r="G72" s="3" t="s">
        <v>22</v>
      </c>
      <c r="H72" s="4" t="s">
        <v>20</v>
      </c>
      <c r="I72" s="4" t="s">
        <v>28</v>
      </c>
      <c r="J72" s="4" t="s">
        <v>21</v>
      </c>
      <c r="K72" s="4" t="s">
        <v>4</v>
      </c>
      <c r="L72" s="4" t="s">
        <v>29</v>
      </c>
    </row>
    <row r="73" spans="1:12" x14ac:dyDescent="0.3">
      <c r="A73" t="s">
        <v>27</v>
      </c>
      <c r="B73" s="1">
        <v>0</v>
      </c>
      <c r="C73" s="1">
        <v>0.51187641049424804</v>
      </c>
      <c r="D73" s="1">
        <v>0.51187641049424804</v>
      </c>
      <c r="E73" s="1">
        <v>0.51187641049424804</v>
      </c>
      <c r="F73" s="1">
        <v>0.51187641049424804</v>
      </c>
      <c r="G73" s="1">
        <v>0.51187641049424804</v>
      </c>
      <c r="H73" s="1">
        <f>AVERAGE(C73:G73)</f>
        <v>0.51187641049424804</v>
      </c>
      <c r="I73" s="1"/>
      <c r="J73" s="1">
        <f>MAX(C73-G73, D73-G73,E73-G73,F73-G73)</f>
        <v>0</v>
      </c>
      <c r="K73" s="1"/>
    </row>
    <row r="74" spans="1:12" x14ac:dyDescent="0.3">
      <c r="A74" t="s">
        <v>25</v>
      </c>
      <c r="B74" s="1">
        <v>1.3734113525742901E-4</v>
      </c>
      <c r="C74" s="1">
        <v>2.7066520419793901E-4</v>
      </c>
      <c r="D74" s="1">
        <v>0.98011253774166096</v>
      </c>
      <c r="E74" s="1">
        <v>0.98011253774166096</v>
      </c>
      <c r="F74" s="1">
        <v>0.98011253774166096</v>
      </c>
      <c r="G74" s="1">
        <v>0.98011253774166096</v>
      </c>
      <c r="H74" s="1">
        <f>AVERAGE(C74:G74)</f>
        <v>0.78414416323416836</v>
      </c>
      <c r="I74" s="1"/>
      <c r="J74" s="1">
        <f t="shared" ref="J74:J76" si="7">MAX(C74-G74, D74-G74,E74-G74,F74-G74)</f>
        <v>0</v>
      </c>
      <c r="K74" s="1">
        <f>C74</f>
        <v>2.7066520419793901E-4</v>
      </c>
    </row>
    <row r="75" spans="1:12" x14ac:dyDescent="0.3">
      <c r="A75" t="s">
        <v>24</v>
      </c>
      <c r="B75" s="1">
        <v>0.68414774164557401</v>
      </c>
      <c r="C75" s="1">
        <v>0.64351335167884804</v>
      </c>
      <c r="D75" s="1">
        <v>6.1918302380945499E-3</v>
      </c>
      <c r="E75" s="1">
        <v>0.74792219201723698</v>
      </c>
      <c r="F75" s="1">
        <v>0.74792219201723698</v>
      </c>
      <c r="G75" s="1">
        <v>0.74792219201723698</v>
      </c>
      <c r="H75" s="1">
        <f>AVERAGE(C75:G75)</f>
        <v>0.57869435159373062</v>
      </c>
      <c r="I75" s="1"/>
      <c r="J75" s="1">
        <f t="shared" si="7"/>
        <v>0</v>
      </c>
      <c r="K75" s="1">
        <f>AVERAGE(C75,D75)</f>
        <v>0.3248525909584713</v>
      </c>
    </row>
    <row r="76" spans="1:12" x14ac:dyDescent="0.3">
      <c r="A76" t="s">
        <v>23</v>
      </c>
      <c r="B76" s="1">
        <v>0</v>
      </c>
      <c r="C76" s="1">
        <v>0.104908015496524</v>
      </c>
      <c r="D76" s="1">
        <v>1.2113126091814199E-3</v>
      </c>
      <c r="E76" s="1">
        <v>1.02231207104826E-3</v>
      </c>
      <c r="F76" s="1">
        <v>0.51556532705823499</v>
      </c>
      <c r="G76" s="1">
        <v>0.51556532705823499</v>
      </c>
      <c r="H76" s="1">
        <f>AVERAGE(C76:G76)</f>
        <v>0.22765445885864474</v>
      </c>
      <c r="I76" s="1"/>
      <c r="J76" s="1">
        <f t="shared" si="7"/>
        <v>0</v>
      </c>
      <c r="K76" s="1">
        <f>AVERAGE(C76, D76, E76)</f>
        <v>3.5713880058917895E-2</v>
      </c>
    </row>
    <row r="77" spans="1:12" x14ac:dyDescent="0.3">
      <c r="A77" t="s">
        <v>22</v>
      </c>
      <c r="B77" s="1">
        <v>0</v>
      </c>
      <c r="C77" s="1">
        <v>3.3831647985304299E-3</v>
      </c>
      <c r="D77" s="1">
        <v>1.37678255123319E-3</v>
      </c>
      <c r="E77" s="1">
        <v>4.2639792566963699E-4</v>
      </c>
      <c r="F77" s="1">
        <v>9.0173166944926594E-2</v>
      </c>
      <c r="G77" s="1">
        <v>0.59939977526664701</v>
      </c>
      <c r="H77" s="1">
        <f>AVERAGE(C77:G77)</f>
        <v>0.13895185749740138</v>
      </c>
      <c r="I77" s="1"/>
      <c r="J77" s="1"/>
      <c r="K77" s="1">
        <f>AVERAGE(C77, D77, E77,F77)</f>
        <v>2.3839878055089962E-2</v>
      </c>
    </row>
    <row r="78" spans="1:12" x14ac:dyDescent="0.3">
      <c r="A78" t="s">
        <v>1</v>
      </c>
      <c r="B78" s="1">
        <v>0.97939257323741902</v>
      </c>
      <c r="C78" s="1">
        <v>0.97939257323741902</v>
      </c>
      <c r="D78" s="1">
        <v>0.97939257323741902</v>
      </c>
      <c r="E78" s="1">
        <v>0.97939257323741902</v>
      </c>
      <c r="F78" s="1">
        <v>0.97939257323741902</v>
      </c>
      <c r="G78" s="1">
        <v>0.97939257323741902</v>
      </c>
      <c r="L78" s="2">
        <f>AVERAGE(B78-G78)</f>
        <v>0</v>
      </c>
    </row>
    <row r="79" spans="1:12" s="5" customFormat="1" x14ac:dyDescent="0.3">
      <c r="A79" s="4" t="s">
        <v>5</v>
      </c>
      <c r="B79" s="2"/>
      <c r="C79" s="2"/>
      <c r="D79" s="2"/>
      <c r="E79" s="2"/>
      <c r="F79" s="2"/>
      <c r="G79" s="2"/>
      <c r="H79" s="2">
        <f>AVERAGE(H73:H77)</f>
        <v>0.4482642483356386</v>
      </c>
      <c r="I79" s="2">
        <f>AVERAGE(G73:G77)</f>
        <v>0.67097524851560564</v>
      </c>
      <c r="J79" s="2">
        <f>AVERAGE(J73:J76)</f>
        <v>0</v>
      </c>
      <c r="K79" s="2">
        <f>AVERAGE(K73:K78)</f>
        <v>9.6169253569169277E-2</v>
      </c>
    </row>
    <row r="81" spans="1:12" s="7" customFormat="1" x14ac:dyDescent="0.3">
      <c r="A81" s="60" t="s">
        <v>60</v>
      </c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</row>
    <row r="82" spans="1:12" s="3" customFormat="1" ht="28.8" x14ac:dyDescent="0.3">
      <c r="B82" s="3" t="s">
        <v>0</v>
      </c>
      <c r="C82" s="3" t="s">
        <v>26</v>
      </c>
      <c r="D82" s="3" t="s">
        <v>25</v>
      </c>
      <c r="E82" s="3" t="s">
        <v>24</v>
      </c>
      <c r="F82" s="3" t="s">
        <v>23</v>
      </c>
      <c r="G82" s="3" t="s">
        <v>22</v>
      </c>
      <c r="H82" s="4" t="s">
        <v>20</v>
      </c>
      <c r="I82" s="4" t="s">
        <v>28</v>
      </c>
      <c r="J82" s="4" t="s">
        <v>21</v>
      </c>
      <c r="K82" s="4" t="s">
        <v>4</v>
      </c>
      <c r="L82" s="4" t="s">
        <v>29</v>
      </c>
    </row>
    <row r="83" spans="1:12" x14ac:dyDescent="0.3">
      <c r="A83" t="s">
        <v>27</v>
      </c>
      <c r="B83" s="1">
        <v>0</v>
      </c>
      <c r="C83" s="1">
        <v>0.563278781871</v>
      </c>
      <c r="D83" s="1">
        <v>0.563278781871</v>
      </c>
      <c r="E83" s="1">
        <v>0.563278781871</v>
      </c>
      <c r="F83" s="1">
        <v>0.563278781871</v>
      </c>
      <c r="G83" s="1">
        <v>0.563278781871</v>
      </c>
      <c r="H83" s="1">
        <f>AVERAGE(C83:G83)</f>
        <v>0.563278781871</v>
      </c>
      <c r="I83" s="1"/>
      <c r="J83" s="1">
        <f>MAX(C83-G83, D83-G83,E83-G83,F83-G83)</f>
        <v>0</v>
      </c>
      <c r="K83" s="1"/>
    </row>
    <row r="84" spans="1:12" x14ac:dyDescent="0.3">
      <c r="A84" t="s">
        <v>25</v>
      </c>
      <c r="B84" s="1">
        <v>1.3723343806759601E-4</v>
      </c>
      <c r="C84" s="1">
        <v>2.1437826952327001E-4</v>
      </c>
      <c r="D84" s="1">
        <v>0.97102821866671196</v>
      </c>
      <c r="E84" s="1">
        <v>0.97102821866671196</v>
      </c>
      <c r="F84" s="1">
        <v>0.97102821866671196</v>
      </c>
      <c r="G84" s="1">
        <v>0.97102821866671196</v>
      </c>
      <c r="H84" s="1">
        <f>AVERAGE(C84:G84)</f>
        <v>0.77686545058727419</v>
      </c>
      <c r="I84" s="1"/>
      <c r="J84" s="1">
        <f t="shared" ref="J84:J86" si="8">MAX(C84-G84, D84-G84,E84-G84,F84-G84)</f>
        <v>0</v>
      </c>
      <c r="K84" s="1">
        <f>C84</f>
        <v>2.1437826952327001E-4</v>
      </c>
    </row>
    <row r="85" spans="1:12" x14ac:dyDescent="0.3">
      <c r="A85" t="s">
        <v>24</v>
      </c>
      <c r="B85" s="1">
        <v>0.68415092180172599</v>
      </c>
      <c r="C85" s="1">
        <v>0.52730807351569298</v>
      </c>
      <c r="D85" s="1">
        <v>6.2831795366946599E-3</v>
      </c>
      <c r="E85" s="1">
        <v>0.77391027907530396</v>
      </c>
      <c r="F85" s="1">
        <v>0.77391027907530396</v>
      </c>
      <c r="G85" s="1">
        <v>0.77391027907530396</v>
      </c>
      <c r="H85" s="1">
        <f>AVERAGE(C85:G85)</f>
        <v>0.57106441805565988</v>
      </c>
      <c r="I85" s="1"/>
      <c r="J85" s="1">
        <f t="shared" si="8"/>
        <v>0</v>
      </c>
      <c r="K85" s="1">
        <f>AVERAGE(C85,D85)</f>
        <v>0.26679562652619382</v>
      </c>
    </row>
    <row r="86" spans="1:12" x14ac:dyDescent="0.3">
      <c r="A86" t="s">
        <v>23</v>
      </c>
      <c r="B86" s="1">
        <v>0</v>
      </c>
      <c r="C86" s="1">
        <v>6.1442000671377103E-2</v>
      </c>
      <c r="D86" s="1">
        <v>1.22777090776556E-3</v>
      </c>
      <c r="E86" s="1">
        <v>4.3068295538735798E-4</v>
      </c>
      <c r="F86" s="1">
        <v>0.52747765680154102</v>
      </c>
      <c r="G86" s="1">
        <v>0.52747765680154102</v>
      </c>
      <c r="H86" s="1">
        <f>AVERAGE(C86:G86)</f>
        <v>0.22361115362752243</v>
      </c>
      <c r="I86" s="1"/>
      <c r="J86" s="1">
        <f t="shared" si="8"/>
        <v>0</v>
      </c>
      <c r="K86" s="1">
        <f>AVERAGE(C86, D86, E86)</f>
        <v>2.1033484844843339E-2</v>
      </c>
    </row>
    <row r="87" spans="1:12" x14ac:dyDescent="0.3">
      <c r="A87" t="s">
        <v>22</v>
      </c>
      <c r="B87" s="1">
        <v>0</v>
      </c>
      <c r="C87" s="1">
        <v>9.68106867124637E-4</v>
      </c>
      <c r="D87" s="1">
        <v>1.3947275438113099E-3</v>
      </c>
      <c r="E87" s="1">
        <v>2.4042493775292901E-4</v>
      </c>
      <c r="F87" s="1">
        <v>7.7637752241571406E-2</v>
      </c>
      <c r="G87" s="1">
        <v>0.65436280642946498</v>
      </c>
      <c r="H87" s="1">
        <f>AVERAGE(C87:G87)</f>
        <v>0.14692076360394507</v>
      </c>
      <c r="I87" s="1"/>
      <c r="J87" s="1"/>
      <c r="K87" s="1">
        <f>AVERAGE(C87, D87, E87,F87)</f>
        <v>2.0060252897565072E-2</v>
      </c>
    </row>
    <row r="88" spans="1:12" x14ac:dyDescent="0.3">
      <c r="A88" t="s">
        <v>1</v>
      </c>
      <c r="B88" s="1">
        <v>0.97939328849315599</v>
      </c>
      <c r="C88" s="1">
        <v>0.97939328849315599</v>
      </c>
      <c r="D88" s="1">
        <v>0.97939328849315599</v>
      </c>
      <c r="E88" s="1">
        <v>0.97939328849315599</v>
      </c>
      <c r="F88" s="1">
        <v>0.97939328849315599</v>
      </c>
      <c r="G88" s="1">
        <v>0.97939328849315599</v>
      </c>
      <c r="L88" s="2">
        <f>AVERAGE(B88-G88)</f>
        <v>0</v>
      </c>
    </row>
    <row r="89" spans="1:12" s="5" customFormat="1" x14ac:dyDescent="0.3">
      <c r="A89" s="4" t="s">
        <v>5</v>
      </c>
      <c r="B89" s="2"/>
      <c r="C89" s="2"/>
      <c r="D89" s="2"/>
      <c r="E89" s="2"/>
      <c r="F89" s="2"/>
      <c r="G89" s="2"/>
      <c r="H89" s="2">
        <f>AVERAGE(H83:H87)</f>
        <v>0.45634811354908028</v>
      </c>
      <c r="I89" s="2">
        <f>AVERAGE(G83:G87)</f>
        <v>0.69801154856880432</v>
      </c>
      <c r="J89" s="2">
        <f>AVERAGE(J83:J86)</f>
        <v>0</v>
      </c>
      <c r="K89" s="2">
        <f>AVERAGE(K83:K88)</f>
        <v>7.7025935634531376E-2</v>
      </c>
    </row>
    <row r="91" spans="1:12" x14ac:dyDescent="0.3">
      <c r="A91" s="60" t="s">
        <v>80</v>
      </c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</row>
    <row r="92" spans="1:12" ht="28.8" x14ac:dyDescent="0.3">
      <c r="B92" s="3" t="s">
        <v>0</v>
      </c>
      <c r="C92" s="3" t="s">
        <v>26</v>
      </c>
      <c r="D92" s="3" t="s">
        <v>25</v>
      </c>
      <c r="E92" s="3" t="s">
        <v>24</v>
      </c>
      <c r="F92" s="3" t="s">
        <v>23</v>
      </c>
      <c r="G92" s="3" t="s">
        <v>22</v>
      </c>
      <c r="H92" s="4" t="s">
        <v>20</v>
      </c>
      <c r="I92" s="4" t="s">
        <v>28</v>
      </c>
      <c r="J92" s="4" t="s">
        <v>21</v>
      </c>
      <c r="K92" s="4" t="s">
        <v>4</v>
      </c>
      <c r="L92" s="4" t="s">
        <v>29</v>
      </c>
    </row>
    <row r="93" spans="1:12" x14ac:dyDescent="0.3">
      <c r="A93" t="s">
        <v>27</v>
      </c>
      <c r="B93" s="1">
        <v>0</v>
      </c>
      <c r="C93" s="1">
        <v>0.58202804997563296</v>
      </c>
      <c r="D93" s="1">
        <v>0.58202804997563296</v>
      </c>
      <c r="E93" s="1">
        <v>0.58202804997563296</v>
      </c>
      <c r="F93" s="1">
        <v>0.58202804997563296</v>
      </c>
      <c r="G93" s="1">
        <v>0.58202804997563296</v>
      </c>
      <c r="H93" s="1">
        <f>AVERAGE(C93:G93)</f>
        <v>0.58202804997563296</v>
      </c>
      <c r="I93" s="1"/>
      <c r="J93" s="1">
        <f>MAX(C93-G93, D93-G93,E93-G93,F93-G93)</f>
        <v>0</v>
      </c>
      <c r="K93" s="1"/>
    </row>
    <row r="94" spans="1:12" x14ac:dyDescent="0.3">
      <c r="A94" t="s">
        <v>25</v>
      </c>
      <c r="B94" s="1">
        <v>1.3723343806759601E-4</v>
      </c>
      <c r="C94" s="1">
        <v>3.6223411264775897E-4</v>
      </c>
      <c r="D94" s="1">
        <v>0.95271449536085095</v>
      </c>
      <c r="E94" s="1">
        <v>0.95271449536085095</v>
      </c>
      <c r="F94" s="1">
        <v>0.95271449536085095</v>
      </c>
      <c r="G94" s="1">
        <v>0.95271449536085095</v>
      </c>
      <c r="H94" s="1">
        <f>AVERAGE(C94:G94)</f>
        <v>0.7622440431112103</v>
      </c>
      <c r="I94" s="1"/>
      <c r="J94" s="1">
        <f t="shared" ref="J94:J96" si="9">MAX(C94-G94, D94-G94,E94-G94,F94-G94)</f>
        <v>0</v>
      </c>
      <c r="K94" s="1">
        <f>C94</f>
        <v>3.6223411264775897E-4</v>
      </c>
    </row>
    <row r="95" spans="1:12" x14ac:dyDescent="0.3">
      <c r="A95" t="s">
        <v>24</v>
      </c>
      <c r="B95" s="1">
        <v>0.68415092180172599</v>
      </c>
      <c r="C95" s="1">
        <v>0.47396187173823501</v>
      </c>
      <c r="D95" s="1">
        <v>6.5187078046922801E-3</v>
      </c>
      <c r="E95" s="1">
        <v>0.7851226379474</v>
      </c>
      <c r="F95" s="1">
        <v>0.7851226379474</v>
      </c>
      <c r="G95" s="1">
        <v>0.7851226379474</v>
      </c>
      <c r="H95" s="1">
        <f>AVERAGE(C95:G95)</f>
        <v>0.56716969867702549</v>
      </c>
      <c r="I95" s="1"/>
      <c r="J95" s="1">
        <f t="shared" si="9"/>
        <v>0</v>
      </c>
      <c r="K95" s="1">
        <f>AVERAGE(C95,D95)</f>
        <v>0.24024028977146364</v>
      </c>
    </row>
    <row r="96" spans="1:12" x14ac:dyDescent="0.3">
      <c r="A96" t="s">
        <v>23</v>
      </c>
      <c r="B96" s="1">
        <v>0</v>
      </c>
      <c r="C96" s="1">
        <v>7.10413046908797E-2</v>
      </c>
      <c r="D96" s="1">
        <v>1.2749632733175501E-3</v>
      </c>
      <c r="E96" s="1">
        <v>3.2572165461412298E-5</v>
      </c>
      <c r="F96" s="1">
        <v>0.58511361355582803</v>
      </c>
      <c r="G96" s="1">
        <v>0.58511361355582803</v>
      </c>
      <c r="H96" s="1">
        <f>AVERAGE(C96:G96)</f>
        <v>0.24851521344826297</v>
      </c>
      <c r="I96" s="1"/>
      <c r="J96" s="1">
        <f t="shared" si="9"/>
        <v>0</v>
      </c>
      <c r="K96" s="1">
        <f>AVERAGE(C96, D96, E96)</f>
        <v>2.4116280043219557E-2</v>
      </c>
    </row>
    <row r="97" spans="1:12" x14ac:dyDescent="0.3">
      <c r="A97" t="s">
        <v>22</v>
      </c>
      <c r="B97" s="1">
        <v>0</v>
      </c>
      <c r="C97" s="1">
        <v>1.95148495428535E-3</v>
      </c>
      <c r="D97" s="1">
        <v>1.44891504896804E-3</v>
      </c>
      <c r="E97" s="1">
        <v>2.6705131555596902E-4</v>
      </c>
      <c r="F97" s="1">
        <v>6.6738598748391498E-2</v>
      </c>
      <c r="G97" s="1">
        <v>0.68989834934473004</v>
      </c>
      <c r="H97" s="1">
        <f>AVERAGE(C97:G97)</f>
        <v>0.1520608798823862</v>
      </c>
      <c r="I97" s="1"/>
      <c r="J97" s="1"/>
      <c r="K97" s="1">
        <f>AVERAGE(C97, D97, E97,F97)</f>
        <v>1.7601512516800213E-2</v>
      </c>
    </row>
    <row r="98" spans="1:12" x14ac:dyDescent="0.3">
      <c r="A98" t="s">
        <v>1</v>
      </c>
      <c r="B98" s="1">
        <v>0.97939328849315599</v>
      </c>
      <c r="C98" s="1">
        <v>0.97939328849315599</v>
      </c>
      <c r="D98" s="1">
        <v>0.97939328849315599</v>
      </c>
      <c r="E98" s="1">
        <v>0.97939328849315599</v>
      </c>
      <c r="F98" s="1">
        <v>0.97939328849315599</v>
      </c>
      <c r="G98" s="1">
        <v>0.97939328849315599</v>
      </c>
      <c r="L98" s="2">
        <f>AVERAGE(B98-G98)</f>
        <v>0</v>
      </c>
    </row>
    <row r="99" spans="1:12" x14ac:dyDescent="0.3">
      <c r="A99" s="4" t="s">
        <v>5</v>
      </c>
      <c r="B99" s="2"/>
      <c r="C99" s="2"/>
      <c r="D99" s="2"/>
      <c r="E99" s="2"/>
      <c r="F99" s="2"/>
      <c r="G99" s="2"/>
      <c r="H99" s="2">
        <f>AVERAGE(H93:H97)</f>
        <v>0.46240357701890356</v>
      </c>
      <c r="I99" s="2">
        <f>AVERAGE(G93:G97)</f>
        <v>0.7189754292368884</v>
      </c>
      <c r="J99" s="2">
        <f>AVERAGE(J93:J96)</f>
        <v>0</v>
      </c>
      <c r="K99" s="2">
        <f>AVERAGE(K93:K98)</f>
        <v>7.0580079111032784E-2</v>
      </c>
      <c r="L99" s="5"/>
    </row>
    <row r="101" spans="1:12" x14ac:dyDescent="0.3">
      <c r="A101" s="59" t="s">
        <v>85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</row>
    <row r="102" spans="1:12" ht="28.8" x14ac:dyDescent="0.3">
      <c r="B102" s="3" t="s">
        <v>0</v>
      </c>
      <c r="C102" s="3" t="s">
        <v>22</v>
      </c>
      <c r="D102" s="3" t="s">
        <v>23</v>
      </c>
      <c r="E102" s="3" t="s">
        <v>24</v>
      </c>
      <c r="F102" s="3" t="s">
        <v>25</v>
      </c>
      <c r="G102" s="3" t="s">
        <v>26</v>
      </c>
      <c r="H102" s="4" t="s">
        <v>20</v>
      </c>
      <c r="I102" s="4" t="s">
        <v>28</v>
      </c>
      <c r="J102" s="4" t="s">
        <v>21</v>
      </c>
      <c r="K102" s="4" t="s">
        <v>4</v>
      </c>
      <c r="L102" s="4" t="s">
        <v>29</v>
      </c>
    </row>
    <row r="103" spans="1:12" x14ac:dyDescent="0.3">
      <c r="A103" t="s">
        <v>22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f>AVERAGE(C103:G103)</f>
        <v>0</v>
      </c>
      <c r="I103" s="1"/>
      <c r="J103" s="1">
        <f>MAX(C103-G103, D103-G103,E103-G103,F103-G103)</f>
        <v>0</v>
      </c>
      <c r="K103" s="1"/>
    </row>
    <row r="104" spans="1:12" x14ac:dyDescent="0.3">
      <c r="A104" t="s">
        <v>23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f>AVERAGE(C104:G104)</f>
        <v>0</v>
      </c>
      <c r="I104" s="1"/>
      <c r="J104" s="1">
        <f t="shared" ref="J104:J106" si="10">MAX(C104-G104, D104-G104,E104-G104,F104-G104)</f>
        <v>0</v>
      </c>
      <c r="K104" s="1">
        <f>C104</f>
        <v>0</v>
      </c>
    </row>
    <row r="105" spans="1:12" x14ac:dyDescent="0.3">
      <c r="A105" t="s">
        <v>24</v>
      </c>
      <c r="B105" s="1">
        <v>0.68415092180172599</v>
      </c>
      <c r="C105" s="1">
        <v>0.68480989212791099</v>
      </c>
      <c r="D105" s="1">
        <v>0.68461865683396605</v>
      </c>
      <c r="E105" s="1">
        <v>0.685115415602922</v>
      </c>
      <c r="F105" s="1">
        <v>0.685115415602922</v>
      </c>
      <c r="G105" s="1">
        <v>0.685115415602922</v>
      </c>
      <c r="H105" s="1">
        <f>AVERAGE(C105:G105)</f>
        <v>0.68495495915412863</v>
      </c>
      <c r="I105" s="1"/>
      <c r="J105" s="1">
        <f t="shared" si="10"/>
        <v>0</v>
      </c>
      <c r="K105" s="1">
        <f>AVERAGE(C105,D105)</f>
        <v>0.68471427448093847</v>
      </c>
    </row>
    <row r="106" spans="1:12" x14ac:dyDescent="0.3">
      <c r="A106" t="s">
        <v>25</v>
      </c>
      <c r="B106" s="1">
        <v>1.3723343806759601E-4</v>
      </c>
      <c r="C106" s="1">
        <v>1.3969224374932299E-4</v>
      </c>
      <c r="D106" s="1">
        <v>1.3909930549971201E-4</v>
      </c>
      <c r="E106" s="1">
        <v>1.3849071533892699E-4</v>
      </c>
      <c r="F106" s="1">
        <v>0.97258312255144097</v>
      </c>
      <c r="G106" s="1">
        <v>0.97258312255144097</v>
      </c>
      <c r="H106" s="1">
        <f>AVERAGE(C106:G106)</f>
        <v>0.38911670547349397</v>
      </c>
      <c r="I106" s="1"/>
      <c r="J106" s="1">
        <f t="shared" si="10"/>
        <v>0</v>
      </c>
      <c r="K106" s="1">
        <f>AVERAGE(C106, D106, E106)</f>
        <v>1.3909408819598733E-4</v>
      </c>
    </row>
    <row r="107" spans="1:12" x14ac:dyDescent="0.3">
      <c r="A107" t="s">
        <v>26</v>
      </c>
      <c r="B107" s="1">
        <v>0</v>
      </c>
      <c r="C107" s="1">
        <v>0</v>
      </c>
      <c r="D107" s="1">
        <v>0</v>
      </c>
      <c r="E107" s="1">
        <v>0</v>
      </c>
      <c r="F107" s="1">
        <v>1.21613475736618E-3</v>
      </c>
      <c r="G107" s="1">
        <v>0</v>
      </c>
      <c r="H107" s="1">
        <f>AVERAGE(C107:G107)</f>
        <v>2.4322695147323601E-4</v>
      </c>
      <c r="I107" s="1"/>
      <c r="J107" s="1"/>
      <c r="K107" s="1">
        <f>AVERAGE(C107, D107, E107,F107)</f>
        <v>3.0403368934154499E-4</v>
      </c>
    </row>
    <row r="108" spans="1:12" x14ac:dyDescent="0.3">
      <c r="A108" t="s">
        <v>1</v>
      </c>
      <c r="B108" s="1">
        <v>0.97939328849315599</v>
      </c>
      <c r="C108" s="1">
        <v>0.97939328849315599</v>
      </c>
      <c r="D108" s="1">
        <v>0.97939328849315599</v>
      </c>
      <c r="E108" s="1">
        <v>0.97939328849315599</v>
      </c>
      <c r="F108" s="1">
        <v>0.97939328849315599</v>
      </c>
      <c r="G108" s="1">
        <v>0.97939328849315599</v>
      </c>
      <c r="L108" s="2">
        <f>AVERAGE(B108-G108)</f>
        <v>0</v>
      </c>
    </row>
    <row r="109" spans="1:12" x14ac:dyDescent="0.3">
      <c r="A109" s="4" t="s">
        <v>5</v>
      </c>
      <c r="B109" s="2"/>
      <c r="C109" s="2"/>
      <c r="D109" s="2"/>
      <c r="E109" s="2"/>
      <c r="F109" s="2"/>
      <c r="G109" s="2"/>
      <c r="H109" s="2">
        <f>AVERAGE(H103:H107)</f>
        <v>0.21486297831581919</v>
      </c>
      <c r="I109" s="2">
        <f>AVERAGE(G103:G107)</f>
        <v>0.33153970763087259</v>
      </c>
      <c r="J109" s="2">
        <f>AVERAGE(J103:J106)</f>
        <v>0</v>
      </c>
      <c r="K109" s="2">
        <f>AVERAGE(K103:K108)</f>
        <v>0.171289350564619</v>
      </c>
      <c r="L109" s="5"/>
    </row>
    <row r="111" spans="1:12" x14ac:dyDescent="0.3">
      <c r="A111" s="59" t="s">
        <v>86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</row>
    <row r="112" spans="1:12" ht="28.8" x14ac:dyDescent="0.3">
      <c r="B112" s="3" t="s">
        <v>0</v>
      </c>
      <c r="C112" s="3" t="s">
        <v>22</v>
      </c>
      <c r="D112" s="3" t="s">
        <v>23</v>
      </c>
      <c r="E112" s="3" t="s">
        <v>24</v>
      </c>
      <c r="F112" s="3" t="s">
        <v>25</v>
      </c>
      <c r="G112" s="3" t="s">
        <v>26</v>
      </c>
      <c r="H112" s="4" t="s">
        <v>20</v>
      </c>
      <c r="I112" s="4" t="s">
        <v>28</v>
      </c>
      <c r="J112" s="4" t="s">
        <v>21</v>
      </c>
      <c r="K112" s="4" t="s">
        <v>4</v>
      </c>
      <c r="L112" s="4" t="s">
        <v>29</v>
      </c>
    </row>
    <row r="113" spans="1:12" x14ac:dyDescent="0.3">
      <c r="A113" t="s">
        <v>22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f>AVERAGE(C113:G113)</f>
        <v>0</v>
      </c>
      <c r="I113" s="1"/>
      <c r="J113" s="1">
        <f>MAX(C113-G113, D113-G113,E113-G113,F113-G113)</f>
        <v>0</v>
      </c>
      <c r="K113" s="1"/>
    </row>
    <row r="114" spans="1:12" x14ac:dyDescent="0.3">
      <c r="A114" t="s">
        <v>23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f>AVERAGE(C114:G114)</f>
        <v>0</v>
      </c>
      <c r="I114" s="1"/>
      <c r="J114" s="1">
        <f t="shared" ref="J114:J116" si="11">MAX(C114-G114, D114-G114,E114-G114,F114-G114)</f>
        <v>0</v>
      </c>
      <c r="K114" s="1">
        <f>C114</f>
        <v>0</v>
      </c>
    </row>
    <row r="115" spans="1:12" x14ac:dyDescent="0.3">
      <c r="A115" t="s">
        <v>24</v>
      </c>
      <c r="B115" s="1">
        <v>0.68415092180172599</v>
      </c>
      <c r="C115" s="1">
        <v>0.68618464966615</v>
      </c>
      <c r="D115" s="1">
        <v>0.68538130819797505</v>
      </c>
      <c r="E115" s="1">
        <v>0.68822298074762001</v>
      </c>
      <c r="F115" s="1">
        <v>0.68822298074762001</v>
      </c>
      <c r="G115" s="1">
        <v>0.68822298074762001</v>
      </c>
      <c r="H115" s="1">
        <f>AVERAGE(C115:G115)</f>
        <v>0.68724698002139706</v>
      </c>
      <c r="I115" s="1"/>
      <c r="J115" s="1">
        <f t="shared" si="11"/>
        <v>0</v>
      </c>
      <c r="K115" s="1">
        <f>AVERAGE(C115,D115)</f>
        <v>0.68578297893206253</v>
      </c>
    </row>
    <row r="116" spans="1:12" x14ac:dyDescent="0.3">
      <c r="A116" t="s">
        <v>25</v>
      </c>
      <c r="B116" s="1">
        <v>1.3723343806759601E-4</v>
      </c>
      <c r="C116" s="1">
        <v>1.4405330529143601E-4</v>
      </c>
      <c r="D116" s="1">
        <v>1.42491811914169E-4</v>
      </c>
      <c r="E116" s="1">
        <v>1.46491127206142E-4</v>
      </c>
      <c r="F116" s="1">
        <v>0.99574255694945601</v>
      </c>
      <c r="G116" s="1">
        <v>0.99574255694945601</v>
      </c>
      <c r="H116" s="1">
        <f>AVERAGE(C116:G116)</f>
        <v>0.39838363002866473</v>
      </c>
      <c r="I116" s="1"/>
      <c r="J116" s="1">
        <f t="shared" si="11"/>
        <v>0</v>
      </c>
      <c r="K116" s="1">
        <f>AVERAGE(C116, D116, E116)</f>
        <v>1.4434541480391568E-4</v>
      </c>
    </row>
    <row r="117" spans="1:12" x14ac:dyDescent="0.3">
      <c r="A117" t="s">
        <v>26</v>
      </c>
      <c r="B117" s="1">
        <v>0</v>
      </c>
      <c r="C117" s="1">
        <v>0</v>
      </c>
      <c r="D117" s="1">
        <v>0</v>
      </c>
      <c r="E117" s="1">
        <v>0</v>
      </c>
      <c r="F117" s="1">
        <v>1.24703018082072E-3</v>
      </c>
      <c r="G117" s="1">
        <v>0</v>
      </c>
      <c r="H117" s="1">
        <f>AVERAGE(C117:G117)</f>
        <v>2.4940603616414403E-4</v>
      </c>
      <c r="I117" s="1"/>
      <c r="J117" s="1"/>
      <c r="K117" s="1">
        <f>AVERAGE(C117, D117, E117,F117)</f>
        <v>3.1175754520518001E-4</v>
      </c>
    </row>
    <row r="118" spans="1:12" x14ac:dyDescent="0.3">
      <c r="A118" t="s">
        <v>1</v>
      </c>
      <c r="B118" s="1">
        <v>0.97939328849315599</v>
      </c>
      <c r="C118" s="1">
        <v>0.97939328849315599</v>
      </c>
      <c r="D118" s="1">
        <v>0.97939328849315599</v>
      </c>
      <c r="E118" s="1">
        <v>0.97939328849315599</v>
      </c>
      <c r="F118" s="1">
        <v>0.97939328849315599</v>
      </c>
      <c r="G118" s="1">
        <v>0.97939328849315599</v>
      </c>
      <c r="L118" s="2">
        <f>AVERAGE(B118-G118)</f>
        <v>0</v>
      </c>
    </row>
    <row r="119" spans="1:12" x14ac:dyDescent="0.3">
      <c r="A119" s="4" t="s">
        <v>5</v>
      </c>
      <c r="B119" s="2"/>
      <c r="C119" s="2"/>
      <c r="D119" s="2"/>
      <c r="E119" s="2"/>
      <c r="F119" s="2"/>
      <c r="G119" s="2"/>
      <c r="H119" s="2">
        <f>AVERAGE(H113:H117)</f>
        <v>0.21717600321724517</v>
      </c>
      <c r="I119" s="2">
        <f>AVERAGE(G113:G117)</f>
        <v>0.33679310753941516</v>
      </c>
      <c r="J119" s="2">
        <f>AVERAGE(J113:J116)</f>
        <v>0</v>
      </c>
      <c r="K119" s="2">
        <f>AVERAGE(K113:K118)</f>
        <v>0.1715597704730179</v>
      </c>
      <c r="L119" s="5"/>
    </row>
    <row r="121" spans="1:12" x14ac:dyDescent="0.3">
      <c r="A121" s="59" t="s">
        <v>87</v>
      </c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</row>
    <row r="122" spans="1:12" ht="28.8" x14ac:dyDescent="0.3">
      <c r="B122" s="3" t="s">
        <v>0</v>
      </c>
      <c r="C122" s="3" t="s">
        <v>22</v>
      </c>
      <c r="D122" s="3" t="s">
        <v>23</v>
      </c>
      <c r="E122" s="3" t="s">
        <v>24</v>
      </c>
      <c r="F122" s="3" t="s">
        <v>25</v>
      </c>
      <c r="G122" s="3" t="s">
        <v>26</v>
      </c>
      <c r="H122" s="4" t="s">
        <v>20</v>
      </c>
      <c r="I122" s="4" t="s">
        <v>28</v>
      </c>
      <c r="J122" s="4" t="s">
        <v>21</v>
      </c>
      <c r="K122" s="4" t="s">
        <v>4</v>
      </c>
      <c r="L122" s="4" t="s">
        <v>29</v>
      </c>
    </row>
    <row r="123" spans="1:12" x14ac:dyDescent="0.3">
      <c r="A123" t="s">
        <v>22</v>
      </c>
      <c r="B123" s="1">
        <v>0</v>
      </c>
      <c r="C123" s="1">
        <v>1.40157734373739E-4</v>
      </c>
      <c r="D123" s="1">
        <v>1.40157734373739E-4</v>
      </c>
      <c r="E123" s="1">
        <v>1.40157734373739E-4</v>
      </c>
      <c r="F123" s="1">
        <v>1.40157734373739E-4</v>
      </c>
      <c r="G123" s="1">
        <v>1.40157734373739E-4</v>
      </c>
      <c r="H123" s="1">
        <f>AVERAGE(C123:G123)</f>
        <v>1.40157734373739E-4</v>
      </c>
      <c r="I123" s="1"/>
      <c r="J123" s="1">
        <f>MAX(C123-G123, D123-G123,E123-G123,F123-G123)</f>
        <v>0</v>
      </c>
      <c r="K123" s="1"/>
    </row>
    <row r="124" spans="1:12" x14ac:dyDescent="0.3">
      <c r="A124" t="s">
        <v>23</v>
      </c>
      <c r="B124" s="1">
        <v>0</v>
      </c>
      <c r="C124" s="1">
        <v>7.5884048177006903E-6</v>
      </c>
      <c r="D124" s="1">
        <v>1.01200233378525E-5</v>
      </c>
      <c r="E124" s="1">
        <v>1.01200233378525E-5</v>
      </c>
      <c r="F124" s="1">
        <v>1.01200233378525E-5</v>
      </c>
      <c r="G124" s="1">
        <v>1.01200233378525E-5</v>
      </c>
      <c r="H124" s="1">
        <f>AVERAGE(C124:G124)</f>
        <v>9.6136996338221384E-6</v>
      </c>
      <c r="I124" s="1"/>
      <c r="J124" s="1">
        <f t="shared" ref="J124:J126" si="12">MAX(C124-G124, D124-G124,E124-G124,F124-G124)</f>
        <v>0</v>
      </c>
      <c r="K124" s="1">
        <f>C124</f>
        <v>7.5884048177006903E-6</v>
      </c>
    </row>
    <row r="125" spans="1:12" x14ac:dyDescent="0.3">
      <c r="A125" t="s">
        <v>24</v>
      </c>
      <c r="B125" s="1">
        <v>0.68414774164557401</v>
      </c>
      <c r="C125" s="1">
        <v>0.68918637558817797</v>
      </c>
      <c r="D125" s="1">
        <v>0.68829090024034101</v>
      </c>
      <c r="E125" s="1">
        <v>0.69292106231053596</v>
      </c>
      <c r="F125" s="1">
        <v>0.69292106231053596</v>
      </c>
      <c r="G125" s="1">
        <v>0.69292106231053596</v>
      </c>
      <c r="H125" s="1">
        <f>AVERAGE(C125:G125)</f>
        <v>0.69124809255202535</v>
      </c>
      <c r="I125" s="1"/>
      <c r="J125" s="1">
        <f t="shared" si="12"/>
        <v>0</v>
      </c>
      <c r="K125" s="1">
        <f>AVERAGE(C125,D125)</f>
        <v>0.68873863791425949</v>
      </c>
    </row>
    <row r="126" spans="1:12" x14ac:dyDescent="0.3">
      <c r="A126" t="s">
        <v>25</v>
      </c>
      <c r="B126" s="1">
        <v>1.3734113525742901E-4</v>
      </c>
      <c r="C126" s="1">
        <v>1.59147167664741E-4</v>
      </c>
      <c r="D126" s="1">
        <v>1.5679637116742601E-4</v>
      </c>
      <c r="E126" s="1">
        <v>1.5342396125106399E-4</v>
      </c>
      <c r="F126" s="1">
        <v>0.99515210092067696</v>
      </c>
      <c r="G126" s="1">
        <v>0.99515210092067696</v>
      </c>
      <c r="H126" s="1">
        <f>AVERAGE(C126:G126)</f>
        <v>0.39815471386828738</v>
      </c>
      <c r="I126" s="1"/>
      <c r="J126" s="1">
        <f t="shared" si="12"/>
        <v>0</v>
      </c>
      <c r="K126" s="1">
        <f>AVERAGE(C126, D126, E126)</f>
        <v>1.5645583336107698E-4</v>
      </c>
    </row>
    <row r="127" spans="1:12" x14ac:dyDescent="0.3">
      <c r="A127" t="s">
        <v>26</v>
      </c>
      <c r="B127" s="1">
        <v>0</v>
      </c>
      <c r="C127" s="1">
        <v>0</v>
      </c>
      <c r="D127" s="1">
        <v>0</v>
      </c>
      <c r="E127" s="1">
        <v>0</v>
      </c>
      <c r="F127" s="1">
        <v>1.24955251036832E-3</v>
      </c>
      <c r="G127" s="1">
        <v>0</v>
      </c>
      <c r="H127" s="1">
        <f>AVERAGE(C127:G127)</f>
        <v>2.49910502073664E-4</v>
      </c>
      <c r="I127" s="1"/>
      <c r="J127" s="1"/>
      <c r="K127" s="1">
        <f>AVERAGE(C127, D127, E127,F127)</f>
        <v>3.1238812759208E-4</v>
      </c>
    </row>
    <row r="128" spans="1:12" x14ac:dyDescent="0.3">
      <c r="A128" t="s">
        <v>1</v>
      </c>
      <c r="B128" s="1">
        <v>0.97939257323741902</v>
      </c>
      <c r="C128" s="1">
        <v>0.97939257323741902</v>
      </c>
      <c r="D128" s="1">
        <v>0.97939257323741902</v>
      </c>
      <c r="E128" s="1">
        <v>0.97939257323741902</v>
      </c>
      <c r="F128" s="1">
        <v>0.97939257323741902</v>
      </c>
      <c r="G128" s="1">
        <v>0.97939257323741902</v>
      </c>
      <c r="L128" s="2">
        <f>AVERAGE(B128-G128)</f>
        <v>0</v>
      </c>
    </row>
    <row r="129" spans="1:12" x14ac:dyDescent="0.3">
      <c r="A129" s="4" t="s">
        <v>5</v>
      </c>
      <c r="B129" s="2"/>
      <c r="C129" s="2"/>
      <c r="D129" s="2"/>
      <c r="E129" s="2"/>
      <c r="F129" s="2"/>
      <c r="G129" s="2"/>
      <c r="H129" s="2">
        <f>AVERAGE(H123:H127)</f>
        <v>0.21796049767127879</v>
      </c>
      <c r="I129" s="2">
        <f>AVERAGE(G123:G127)</f>
        <v>0.33764468819778493</v>
      </c>
      <c r="J129" s="2">
        <f>AVERAGE(J123:J126)</f>
        <v>0</v>
      </c>
      <c r="K129" s="2">
        <f>AVERAGE(K123:K128)</f>
        <v>0.17230376757000759</v>
      </c>
      <c r="L129" s="5"/>
    </row>
    <row r="131" spans="1:12" x14ac:dyDescent="0.3">
      <c r="A131" s="59" t="s">
        <v>95</v>
      </c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</row>
    <row r="132" spans="1:12" ht="28.8" x14ac:dyDescent="0.3">
      <c r="B132" s="3" t="s">
        <v>0</v>
      </c>
      <c r="C132" s="3" t="s">
        <v>22</v>
      </c>
      <c r="D132" s="3" t="s">
        <v>23</v>
      </c>
      <c r="E132" s="3" t="s">
        <v>24</v>
      </c>
      <c r="F132" s="3" t="s">
        <v>25</v>
      </c>
      <c r="G132" s="3" t="s">
        <v>26</v>
      </c>
      <c r="H132" s="4" t="s">
        <v>20</v>
      </c>
      <c r="I132" s="4" t="s">
        <v>28</v>
      </c>
      <c r="J132" s="4" t="s">
        <v>21</v>
      </c>
      <c r="K132" s="4" t="s">
        <v>4</v>
      </c>
      <c r="L132" s="4" t="s">
        <v>29</v>
      </c>
    </row>
    <row r="133" spans="1:12" x14ac:dyDescent="0.3">
      <c r="A133" t="s">
        <v>22</v>
      </c>
      <c r="B133" s="1">
        <v>0</v>
      </c>
      <c r="C133" s="1">
        <v>7.8740876265025295E-2</v>
      </c>
      <c r="D133" s="1">
        <v>7.8740876265025295E-2</v>
      </c>
      <c r="E133" s="1">
        <v>7.8740876265025295E-2</v>
      </c>
      <c r="F133" s="1">
        <v>7.8740876265025295E-2</v>
      </c>
      <c r="G133" s="1">
        <v>7.8740876265025295E-2</v>
      </c>
      <c r="H133" s="1">
        <f>AVERAGE(C133:G133)</f>
        <v>7.8740876265025295E-2</v>
      </c>
      <c r="I133" s="1"/>
      <c r="J133" s="1">
        <f>MAX(C133-G133, D133-G133,E133-G133,F133-G133)</f>
        <v>0</v>
      </c>
      <c r="K133" s="1"/>
    </row>
    <row r="134" spans="1:12" x14ac:dyDescent="0.3">
      <c r="A134" t="s">
        <v>23</v>
      </c>
      <c r="B134" s="1">
        <v>0</v>
      </c>
      <c r="C134" s="1">
        <v>0.104133644674827</v>
      </c>
      <c r="D134" s="1">
        <v>0.21990262422089699</v>
      </c>
      <c r="E134" s="1">
        <v>0.21990262422089699</v>
      </c>
      <c r="F134" s="1">
        <v>0.21990262422089699</v>
      </c>
      <c r="G134" s="1">
        <v>0.21990262422089699</v>
      </c>
      <c r="H134" s="1">
        <f>AVERAGE(C134:G134)</f>
        <v>0.196748828311683</v>
      </c>
      <c r="I134" s="1"/>
      <c r="J134" s="1">
        <f t="shared" ref="J134:J136" si="13">MAX(C134-G134, D134-G134,E134-G134,F134-G134)</f>
        <v>0</v>
      </c>
      <c r="K134" s="1">
        <f>C134</f>
        <v>0.104133644674827</v>
      </c>
    </row>
    <row r="135" spans="1:12" x14ac:dyDescent="0.3">
      <c r="A135" t="s">
        <v>24</v>
      </c>
      <c r="B135" s="1">
        <v>0.68415092180172599</v>
      </c>
      <c r="C135" s="1">
        <v>0.65238188828031196</v>
      </c>
      <c r="D135" s="1">
        <v>0.68065595005949298</v>
      </c>
      <c r="E135" s="1">
        <v>0.71156118437647797</v>
      </c>
      <c r="F135" s="1">
        <v>0.71156118437647797</v>
      </c>
      <c r="G135" s="1">
        <v>0.71156118437647797</v>
      </c>
      <c r="H135" s="1">
        <f>AVERAGE(C135:G135)</f>
        <v>0.6935442782938479</v>
      </c>
      <c r="I135" s="1"/>
      <c r="J135" s="1">
        <f t="shared" si="13"/>
        <v>0</v>
      </c>
      <c r="K135" s="1">
        <f>AVERAGE(C135,D135)</f>
        <v>0.66651891916990247</v>
      </c>
    </row>
    <row r="136" spans="1:12" x14ac:dyDescent="0.3">
      <c r="A136" t="s">
        <v>25</v>
      </c>
      <c r="B136" s="1">
        <v>1.3723343806759601E-4</v>
      </c>
      <c r="C136" s="1">
        <v>8.4233222757272097E-4</v>
      </c>
      <c r="D136" s="1">
        <v>6.3551888706570004E-4</v>
      </c>
      <c r="E136" s="1">
        <v>2.7839488582988699E-4</v>
      </c>
      <c r="F136" s="1">
        <v>0.981391395131746</v>
      </c>
      <c r="G136" s="1">
        <v>0.981391395131746</v>
      </c>
      <c r="H136" s="1">
        <f>AVERAGE(C136:G136)</f>
        <v>0.39290780725279206</v>
      </c>
      <c r="I136" s="1"/>
      <c r="J136" s="1">
        <f t="shared" si="13"/>
        <v>0</v>
      </c>
      <c r="K136" s="1">
        <f>AVERAGE(C136, D136, E136)</f>
        <v>5.8541533348943598E-4</v>
      </c>
    </row>
    <row r="137" spans="1:12" x14ac:dyDescent="0.3">
      <c r="A137" t="s">
        <v>26</v>
      </c>
      <c r="B137" s="1">
        <v>0</v>
      </c>
      <c r="C137" s="1">
        <v>5.81892613323968E-3</v>
      </c>
      <c r="D137" s="1">
        <v>4.3097338268125798E-2</v>
      </c>
      <c r="E137" s="1">
        <v>5.3574470712192102E-4</v>
      </c>
      <c r="F137" s="1">
        <v>1.2815361794006701E-3</v>
      </c>
      <c r="G137" s="1">
        <v>0.23248483023295799</v>
      </c>
      <c r="H137" s="1">
        <f>AVERAGE(C137:G137)</f>
        <v>5.6643675104169212E-2</v>
      </c>
      <c r="I137" s="1"/>
      <c r="J137" s="1"/>
      <c r="K137" s="1">
        <f>AVERAGE(C137, D137, E137,F137)</f>
        <v>1.2683386321972016E-2</v>
      </c>
    </row>
    <row r="138" spans="1:12" x14ac:dyDescent="0.3">
      <c r="A138" t="s">
        <v>1</v>
      </c>
      <c r="B138" s="1">
        <v>0.97939328849315599</v>
      </c>
      <c r="C138" s="1">
        <v>0.97939328849315599</v>
      </c>
      <c r="D138" s="1">
        <v>0.97939328849315599</v>
      </c>
      <c r="E138" s="1">
        <v>0.97939328849315599</v>
      </c>
      <c r="F138" s="1">
        <v>0.97939328849315599</v>
      </c>
      <c r="G138" s="1">
        <v>0.97939328849315599</v>
      </c>
      <c r="L138" s="2">
        <f>AVERAGE(B138-G138)</f>
        <v>0</v>
      </c>
    </row>
    <row r="139" spans="1:12" x14ac:dyDescent="0.3">
      <c r="A139" s="4" t="s">
        <v>5</v>
      </c>
      <c r="B139" s="2"/>
      <c r="C139" s="2"/>
      <c r="D139" s="2"/>
      <c r="E139" s="2"/>
      <c r="F139" s="2"/>
      <c r="G139" s="2"/>
      <c r="H139" s="2">
        <f>AVERAGE(H133:H137)</f>
        <v>0.28371709304550352</v>
      </c>
      <c r="I139" s="2">
        <f>AVERAGE(G133:G137)</f>
        <v>0.44481618204542084</v>
      </c>
      <c r="J139" s="2">
        <f>AVERAGE(J133:J136)</f>
        <v>0</v>
      </c>
      <c r="K139" s="2">
        <f>AVERAGE(K133:K138)</f>
        <v>0.19598034137504772</v>
      </c>
      <c r="L139" s="5"/>
    </row>
  </sheetData>
  <mergeCells count="14">
    <mergeCell ref="A91:L91"/>
    <mergeCell ref="A101:L101"/>
    <mergeCell ref="A111:L111"/>
    <mergeCell ref="A121:L121"/>
    <mergeCell ref="A131:L131"/>
    <mergeCell ref="A11:L11"/>
    <mergeCell ref="A1:L1"/>
    <mergeCell ref="A81:L81"/>
    <mergeCell ref="A21:L21"/>
    <mergeCell ref="A31:L31"/>
    <mergeCell ref="A41:L41"/>
    <mergeCell ref="A51:L51"/>
    <mergeCell ref="A61:L61"/>
    <mergeCell ref="A71:L71"/>
  </mergeCells>
  <conditionalFormatting sqref="B3:G8">
    <cfRule type="cellIs" dxfId="219" priority="35" operator="between">
      <formula>0.8</formula>
      <formula>1</formula>
    </cfRule>
    <cfRule type="cellIs" dxfId="218" priority="31" operator="between">
      <formula>0.1</formula>
      <formula>0.2</formula>
    </cfRule>
    <cfRule type="cellIs" dxfId="217" priority="32" operator="between">
      <formula>0.2</formula>
      <formula>0.4</formula>
    </cfRule>
    <cfRule type="cellIs" dxfId="216" priority="33" operator="between">
      <formula>0.4</formula>
      <formula>0.6</formula>
    </cfRule>
    <cfRule type="cellIs" dxfId="215" priority="34" operator="between">
      <formula>0.6</formula>
      <formula>0.8</formula>
    </cfRule>
  </conditionalFormatting>
  <conditionalFormatting sqref="B13:G18">
    <cfRule type="cellIs" dxfId="214" priority="40" operator="between">
      <formula>0.8</formula>
      <formula>1</formula>
    </cfRule>
    <cfRule type="cellIs" dxfId="213" priority="39" operator="between">
      <formula>0.6</formula>
      <formula>0.8</formula>
    </cfRule>
    <cfRule type="cellIs" dxfId="212" priority="36" operator="between">
      <formula>0.1</formula>
      <formula>0.2</formula>
    </cfRule>
    <cfRule type="cellIs" dxfId="211" priority="38" operator="between">
      <formula>0.4</formula>
      <formula>0.6</formula>
    </cfRule>
    <cfRule type="cellIs" dxfId="210" priority="37" operator="between">
      <formula>0.2</formula>
      <formula>0.4</formula>
    </cfRule>
  </conditionalFormatting>
  <conditionalFormatting sqref="B23:G28">
    <cfRule type="cellIs" dxfId="209" priority="69" operator="between">
      <formula>0.6</formula>
      <formula>0.8</formula>
    </cfRule>
    <cfRule type="cellIs" dxfId="208" priority="68" operator="between">
      <formula>0.4</formula>
      <formula>0.6</formula>
    </cfRule>
    <cfRule type="cellIs" dxfId="207" priority="67" operator="between">
      <formula>0.2</formula>
      <formula>0.4</formula>
    </cfRule>
    <cfRule type="cellIs" dxfId="206" priority="66" operator="between">
      <formula>0.1</formula>
      <formula>0.2</formula>
    </cfRule>
    <cfRule type="cellIs" dxfId="205" priority="70" operator="between">
      <formula>0.8</formula>
      <formula>1</formula>
    </cfRule>
  </conditionalFormatting>
  <conditionalFormatting sqref="B33:G38">
    <cfRule type="cellIs" dxfId="204" priority="65" operator="between">
      <formula>0.8</formula>
      <formula>1</formula>
    </cfRule>
    <cfRule type="cellIs" dxfId="203" priority="64" operator="between">
      <formula>0.6</formula>
      <formula>0.8</formula>
    </cfRule>
    <cfRule type="cellIs" dxfId="202" priority="63" operator="between">
      <formula>0.4</formula>
      <formula>0.6</formula>
    </cfRule>
    <cfRule type="cellIs" dxfId="201" priority="62" operator="between">
      <formula>0.2</formula>
      <formula>0.4</formula>
    </cfRule>
    <cfRule type="cellIs" dxfId="200" priority="61" operator="between">
      <formula>0.1</formula>
      <formula>0.2</formula>
    </cfRule>
  </conditionalFormatting>
  <conditionalFormatting sqref="B43:G48">
    <cfRule type="cellIs" dxfId="199" priority="60" operator="between">
      <formula>0.8</formula>
      <formula>1</formula>
    </cfRule>
    <cfRule type="cellIs" dxfId="198" priority="59" operator="between">
      <formula>0.6</formula>
      <formula>0.8</formula>
    </cfRule>
    <cfRule type="cellIs" dxfId="197" priority="58" operator="between">
      <formula>0.4</formula>
      <formula>0.6</formula>
    </cfRule>
    <cfRule type="cellIs" dxfId="196" priority="57" operator="between">
      <formula>0.2</formula>
      <formula>0.4</formula>
    </cfRule>
    <cfRule type="cellIs" dxfId="195" priority="56" operator="between">
      <formula>0.1</formula>
      <formula>0.2</formula>
    </cfRule>
  </conditionalFormatting>
  <conditionalFormatting sqref="B53:G58">
    <cfRule type="cellIs" dxfId="194" priority="54" operator="between">
      <formula>0.6</formula>
      <formula>0.8</formula>
    </cfRule>
    <cfRule type="cellIs" dxfId="193" priority="52" operator="between">
      <formula>0.2</formula>
      <formula>0.4</formula>
    </cfRule>
    <cfRule type="cellIs" dxfId="192" priority="51" operator="between">
      <formula>0.1</formula>
      <formula>0.2</formula>
    </cfRule>
    <cfRule type="cellIs" dxfId="191" priority="55" operator="between">
      <formula>0.8</formula>
      <formula>1</formula>
    </cfRule>
    <cfRule type="cellIs" dxfId="190" priority="53" operator="between">
      <formula>0.4</formula>
      <formula>0.6</formula>
    </cfRule>
  </conditionalFormatting>
  <conditionalFormatting sqref="B63:G68">
    <cfRule type="cellIs" dxfId="189" priority="50" operator="between">
      <formula>0.8</formula>
      <formula>1</formula>
    </cfRule>
    <cfRule type="cellIs" dxfId="188" priority="49" operator="between">
      <formula>0.6</formula>
      <formula>0.8</formula>
    </cfRule>
    <cfRule type="cellIs" dxfId="187" priority="48" operator="between">
      <formula>0.4</formula>
      <formula>0.6</formula>
    </cfRule>
    <cfRule type="cellIs" dxfId="186" priority="47" operator="between">
      <formula>0.2</formula>
      <formula>0.4</formula>
    </cfRule>
    <cfRule type="cellIs" dxfId="185" priority="46" operator="between">
      <formula>0.1</formula>
      <formula>0.2</formula>
    </cfRule>
  </conditionalFormatting>
  <conditionalFormatting sqref="B73:G78">
    <cfRule type="cellIs" dxfId="184" priority="44" operator="between">
      <formula>0.6</formula>
      <formula>0.8</formula>
    </cfRule>
    <cfRule type="cellIs" dxfId="183" priority="41" operator="between">
      <formula>0.1</formula>
      <formula>0.2</formula>
    </cfRule>
    <cfRule type="cellIs" dxfId="182" priority="42" operator="between">
      <formula>0.2</formula>
      <formula>0.4</formula>
    </cfRule>
    <cfRule type="cellIs" dxfId="181" priority="43" operator="between">
      <formula>0.4</formula>
      <formula>0.6</formula>
    </cfRule>
    <cfRule type="cellIs" dxfId="180" priority="45" operator="between">
      <formula>0.8</formula>
      <formula>1</formula>
    </cfRule>
  </conditionalFormatting>
  <conditionalFormatting sqref="B83:G88">
    <cfRule type="cellIs" dxfId="179" priority="30" operator="between">
      <formula>0.8</formula>
      <formula>1</formula>
    </cfRule>
    <cfRule type="cellIs" dxfId="178" priority="29" operator="between">
      <formula>0.6</formula>
      <formula>0.8</formula>
    </cfRule>
    <cfRule type="cellIs" dxfId="177" priority="27" operator="between">
      <formula>0.2</formula>
      <formula>0.4</formula>
    </cfRule>
    <cfRule type="cellIs" dxfId="176" priority="28" operator="between">
      <formula>0.4</formula>
      <formula>0.6</formula>
    </cfRule>
    <cfRule type="cellIs" dxfId="175" priority="26" operator="between">
      <formula>0.1</formula>
      <formula>0.2</formula>
    </cfRule>
  </conditionalFormatting>
  <conditionalFormatting sqref="B93:G98">
    <cfRule type="cellIs" dxfId="174" priority="25" operator="between">
      <formula>0.8</formula>
      <formula>1</formula>
    </cfRule>
    <cfRule type="cellIs" dxfId="173" priority="24" operator="between">
      <formula>0.6</formula>
      <formula>0.8</formula>
    </cfRule>
    <cfRule type="cellIs" dxfId="172" priority="23" operator="between">
      <formula>0.4</formula>
      <formula>0.6</formula>
    </cfRule>
    <cfRule type="cellIs" dxfId="171" priority="22" operator="between">
      <formula>0.2</formula>
      <formula>0.4</formula>
    </cfRule>
    <cfRule type="cellIs" dxfId="170" priority="21" operator="between">
      <formula>0.1</formula>
      <formula>0.2</formula>
    </cfRule>
  </conditionalFormatting>
  <conditionalFormatting sqref="B103:G108">
    <cfRule type="cellIs" dxfId="169" priority="20" operator="between">
      <formula>0.8</formula>
      <formula>1</formula>
    </cfRule>
    <cfRule type="cellIs" dxfId="168" priority="19" operator="between">
      <formula>0.6</formula>
      <formula>0.8</formula>
    </cfRule>
    <cfRule type="cellIs" dxfId="167" priority="18" operator="between">
      <formula>0.4</formula>
      <formula>0.6</formula>
    </cfRule>
    <cfRule type="cellIs" dxfId="166" priority="16" operator="between">
      <formula>0.1</formula>
      <formula>0.2</formula>
    </cfRule>
    <cfRule type="cellIs" dxfId="165" priority="17" operator="between">
      <formula>0.2</formula>
      <formula>0.4</formula>
    </cfRule>
  </conditionalFormatting>
  <conditionalFormatting sqref="B113:G118">
    <cfRule type="cellIs" dxfId="164" priority="15" operator="between">
      <formula>0.8</formula>
      <formula>1</formula>
    </cfRule>
    <cfRule type="cellIs" dxfId="163" priority="14" operator="between">
      <formula>0.6</formula>
      <formula>0.8</formula>
    </cfRule>
    <cfRule type="cellIs" dxfId="162" priority="13" operator="between">
      <formula>0.4</formula>
      <formula>0.6</formula>
    </cfRule>
    <cfRule type="cellIs" dxfId="161" priority="12" operator="between">
      <formula>0.2</formula>
      <formula>0.4</formula>
    </cfRule>
    <cfRule type="cellIs" dxfId="160" priority="11" operator="between">
      <formula>0.1</formula>
      <formula>0.2</formula>
    </cfRule>
  </conditionalFormatting>
  <conditionalFormatting sqref="B123:G128">
    <cfRule type="cellIs" dxfId="159" priority="10" operator="between">
      <formula>0.8</formula>
      <formula>1</formula>
    </cfRule>
    <cfRule type="cellIs" dxfId="158" priority="9" operator="between">
      <formula>0.6</formula>
      <formula>0.8</formula>
    </cfRule>
    <cfRule type="cellIs" dxfId="157" priority="8" operator="between">
      <formula>0.4</formula>
      <formula>0.6</formula>
    </cfRule>
    <cfRule type="cellIs" dxfId="156" priority="7" operator="between">
      <formula>0.2</formula>
      <formula>0.4</formula>
    </cfRule>
    <cfRule type="cellIs" dxfId="155" priority="6" operator="between">
      <formula>0.1</formula>
      <formula>0.2</formula>
    </cfRule>
  </conditionalFormatting>
  <conditionalFormatting sqref="B133:G138">
    <cfRule type="cellIs" dxfId="154" priority="1" operator="between">
      <formula>0.1</formula>
      <formula>0.2</formula>
    </cfRule>
    <cfRule type="cellIs" dxfId="153" priority="5" operator="between">
      <formula>0.8</formula>
      <formula>1</formula>
    </cfRule>
    <cfRule type="cellIs" dxfId="152" priority="4" operator="between">
      <formula>0.6</formula>
      <formula>0.8</formula>
    </cfRule>
    <cfRule type="cellIs" dxfId="151" priority="3" operator="between">
      <formula>0.4</formula>
      <formula>0.6</formula>
    </cfRule>
    <cfRule type="cellIs" dxfId="150" priority="2" operator="between">
      <formula>0.2</formula>
      <formula>0.4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EC8C-E332-4066-A49E-6F470431EE14}">
  <dimension ref="A1:L59"/>
  <sheetViews>
    <sheetView workbookViewId="0">
      <selection activeCell="A51" sqref="A51:L51"/>
    </sheetView>
  </sheetViews>
  <sheetFormatPr defaultRowHeight="14.4" x14ac:dyDescent="0.3"/>
  <cols>
    <col min="1" max="1" width="18.21875" style="3" bestFit="1" customWidth="1"/>
    <col min="2" max="2" width="9.44140625" bestFit="1" customWidth="1"/>
    <col min="3" max="3" width="14.6640625" bestFit="1" customWidth="1"/>
    <col min="4" max="4" width="11.33203125" bestFit="1" customWidth="1"/>
    <col min="5" max="5" width="7.6640625" bestFit="1" customWidth="1"/>
    <col min="6" max="6" width="11.33203125" bestFit="1" customWidth="1"/>
    <col min="7" max="7" width="14.6640625" bestFit="1" customWidth="1"/>
    <col min="8" max="8" width="11.88671875" bestFit="1" customWidth="1"/>
    <col min="9" max="9" width="11.88671875" customWidth="1"/>
    <col min="10" max="10" width="9.5546875" bestFit="1" customWidth="1"/>
    <col min="11" max="11" width="7.88671875" bestFit="1" customWidth="1"/>
    <col min="12" max="12" width="13.88671875" bestFit="1" customWidth="1"/>
  </cols>
  <sheetData>
    <row r="1" spans="1:12" s="6" customFormat="1" x14ac:dyDescent="0.3">
      <c r="A1" s="59" t="s">
        <v>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s="3" customFormat="1" ht="28.8" x14ac:dyDescent="0.3">
      <c r="B2" s="3" t="s">
        <v>0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4" t="s">
        <v>20</v>
      </c>
      <c r="I2" s="4" t="s">
        <v>28</v>
      </c>
      <c r="J2" s="4" t="s">
        <v>21</v>
      </c>
      <c r="K2" s="4" t="s">
        <v>4</v>
      </c>
      <c r="L2" s="4" t="s">
        <v>29</v>
      </c>
    </row>
    <row r="3" spans="1:12" x14ac:dyDescent="0.3">
      <c r="A3" t="s">
        <v>22</v>
      </c>
      <c r="B3" s="1">
        <v>0</v>
      </c>
      <c r="C3" s="1">
        <v>0.523455834637085</v>
      </c>
      <c r="D3" s="1">
        <v>9.0168493733168903E-2</v>
      </c>
      <c r="E3" s="1">
        <v>4.2849942595542701E-4</v>
      </c>
      <c r="F3" s="1">
        <v>1.3767831284591601E-3</v>
      </c>
      <c r="G3" s="1">
        <v>1.9646728809069201E-3</v>
      </c>
      <c r="H3" s="1">
        <f>AVERAGE(C3:G3)</f>
        <v>0.1234788567611151</v>
      </c>
      <c r="I3" s="1"/>
      <c r="J3" s="1">
        <f>MAX(C3-G3, D3-G3,E3-G3,F3-G3)</f>
        <v>0.52149116175617805</v>
      </c>
      <c r="K3" s="1"/>
    </row>
    <row r="4" spans="1:12" x14ac:dyDescent="0.3">
      <c r="A4" t="s">
        <v>23</v>
      </c>
      <c r="B4" s="1">
        <v>0</v>
      </c>
      <c r="C4" s="1">
        <v>0.261042675895926</v>
      </c>
      <c r="D4" s="1">
        <v>0.51553716758886903</v>
      </c>
      <c r="E4" s="1">
        <v>1.0220204255043999E-3</v>
      </c>
      <c r="F4" s="1">
        <v>1.2113191987737E-3</v>
      </c>
      <c r="G4" s="1">
        <v>9.2947449826169704E-2</v>
      </c>
      <c r="H4" s="1">
        <f>AVERAGE(C4:G4)</f>
        <v>0.17435212658704854</v>
      </c>
      <c r="I4" s="1"/>
      <c r="J4" s="1">
        <f t="shared" ref="J4:J6" si="0">MAX(C4-G4, D4-G4,E4-G4,F4-G4)</f>
        <v>0.42258971776269932</v>
      </c>
      <c r="K4" s="1">
        <f>C4</f>
        <v>0.261042675895926</v>
      </c>
    </row>
    <row r="5" spans="1:12" x14ac:dyDescent="0.3">
      <c r="A5" t="s">
        <v>24</v>
      </c>
      <c r="B5" s="1">
        <v>0.68415092180172599</v>
      </c>
      <c r="C5" s="1">
        <v>0.59784298017620996</v>
      </c>
      <c r="D5" s="1">
        <v>0.48801220084230101</v>
      </c>
      <c r="E5" s="1">
        <v>0.74792718887329102</v>
      </c>
      <c r="F5" s="8">
        <v>6.1918499898941503E-3</v>
      </c>
      <c r="G5" s="1">
        <v>0.61941899483402496</v>
      </c>
      <c r="H5" s="1">
        <f>AVERAGE(C5:G5)</f>
        <v>0.49187864294314421</v>
      </c>
      <c r="I5" s="1"/>
      <c r="J5" s="1">
        <f t="shared" si="0"/>
        <v>0.12850819403926605</v>
      </c>
      <c r="K5" s="1">
        <f>AVERAGE(C5,D5)</f>
        <v>0.54292759050925543</v>
      </c>
    </row>
    <row r="6" spans="1:12" x14ac:dyDescent="0.3">
      <c r="A6" t="s">
        <v>25</v>
      </c>
      <c r="B6" s="1">
        <v>1.3723343806759601E-4</v>
      </c>
      <c r="C6" s="1">
        <v>4.5324461340593699E-4</v>
      </c>
      <c r="D6" s="1">
        <v>3.96658207440244E-4</v>
      </c>
      <c r="E6" s="1">
        <v>2.8502551883017598E-4</v>
      </c>
      <c r="F6" s="1">
        <v>0.98011014362176196</v>
      </c>
      <c r="G6" s="1">
        <v>2.4178526223295099E-4</v>
      </c>
      <c r="H6" s="1">
        <f>AVERAGE(C6:G6)</f>
        <v>0.19629737144473425</v>
      </c>
      <c r="I6" s="1"/>
      <c r="J6" s="1">
        <f t="shared" si="0"/>
        <v>0.97986835835952901</v>
      </c>
      <c r="K6" s="1">
        <f>AVERAGE(C6, D6, E6)</f>
        <v>3.7830944655878568E-4</v>
      </c>
    </row>
    <row r="7" spans="1:12" x14ac:dyDescent="0.3">
      <c r="A7" t="s">
        <v>26</v>
      </c>
      <c r="B7" s="1">
        <v>0</v>
      </c>
      <c r="C7" s="1">
        <v>2.90245968329448E-2</v>
      </c>
      <c r="D7" s="1">
        <v>7.7023197733069496E-2</v>
      </c>
      <c r="E7" s="1">
        <v>2.5800891065349098E-4</v>
      </c>
      <c r="F7" s="1">
        <v>1.2870723755137601E-3</v>
      </c>
      <c r="G7" s="1">
        <v>0.52579400564233403</v>
      </c>
      <c r="H7" s="1">
        <f>AVERAGE(C7:G7)</f>
        <v>0.12667737629890313</v>
      </c>
      <c r="I7" s="1"/>
      <c r="J7" s="1"/>
      <c r="K7" s="1">
        <f>AVERAGE(C7, D7, E7,F7)</f>
        <v>2.6898218963045385E-2</v>
      </c>
    </row>
    <row r="8" spans="1:12" x14ac:dyDescent="0.3">
      <c r="A8" t="s">
        <v>1</v>
      </c>
      <c r="B8" s="1">
        <v>0.97939328849315599</v>
      </c>
      <c r="C8" s="1">
        <v>0.92529293894767695</v>
      </c>
      <c r="D8" s="1">
        <v>0.89903244376182501</v>
      </c>
      <c r="E8" s="1">
        <v>0.98004582524299599</v>
      </c>
      <c r="F8" s="1">
        <v>0.22938907518982801</v>
      </c>
      <c r="G8" s="1">
        <v>0.91503664851188604</v>
      </c>
      <c r="L8" s="2">
        <f>AVERAGE(B8-G8)</f>
        <v>6.4356639981269947E-2</v>
      </c>
    </row>
    <row r="9" spans="1:12" s="5" customFormat="1" x14ac:dyDescent="0.3">
      <c r="A9" s="4" t="s">
        <v>5</v>
      </c>
      <c r="B9" s="2"/>
      <c r="C9" s="2"/>
      <c r="D9" s="2"/>
      <c r="E9" s="2"/>
      <c r="F9" s="2"/>
      <c r="G9" s="2"/>
      <c r="H9" s="2">
        <f>AVERAGE(H3:H7)</f>
        <v>0.22253687480698905</v>
      </c>
      <c r="I9" s="2">
        <f>AVERAGE(G3:G7)</f>
        <v>0.2480733816891337</v>
      </c>
      <c r="J9" s="2">
        <f>AVERAGE(J3:J6)</f>
        <v>0.51311435797941807</v>
      </c>
      <c r="K9" s="2">
        <f>AVERAGE(K3:K8)</f>
        <v>0.2078116987036964</v>
      </c>
    </row>
    <row r="11" spans="1:12" s="5" customFormat="1" x14ac:dyDescent="0.3">
      <c r="A11" s="59" t="s">
        <v>3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</row>
    <row r="12" spans="1:12" s="3" customFormat="1" ht="28.8" x14ac:dyDescent="0.3">
      <c r="B12" s="3" t="s">
        <v>0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4" t="s">
        <v>20</v>
      </c>
      <c r="I12" s="4" t="s">
        <v>28</v>
      </c>
      <c r="J12" s="4" t="s">
        <v>21</v>
      </c>
      <c r="K12" s="4" t="s">
        <v>4</v>
      </c>
      <c r="L12" s="4" t="s">
        <v>29</v>
      </c>
    </row>
    <row r="13" spans="1:12" x14ac:dyDescent="0.3">
      <c r="A13" t="s">
        <v>22</v>
      </c>
      <c r="B13" s="1">
        <v>0</v>
      </c>
      <c r="C13" s="1">
        <v>0.309480436223869</v>
      </c>
      <c r="D13" s="1">
        <v>6.2733083511072096E-2</v>
      </c>
      <c r="E13" s="1">
        <v>6.3258360508674095E-4</v>
      </c>
      <c r="F13" s="1">
        <v>1.38256622449262E-3</v>
      </c>
      <c r="G13" s="1">
        <v>6.0585635559012403E-3</v>
      </c>
      <c r="H13" s="1">
        <f>AVERAGE(C13:G13)</f>
        <v>7.6057446624084341E-2</v>
      </c>
      <c r="I13" s="1"/>
      <c r="J13" s="1">
        <f>MAX(C13-G13, D13-G13,E13-G13,F13-G13)</f>
        <v>0.30342187266796777</v>
      </c>
      <c r="K13" s="1"/>
    </row>
    <row r="14" spans="1:12" x14ac:dyDescent="0.3">
      <c r="A14" t="s">
        <v>23</v>
      </c>
      <c r="B14" s="1">
        <v>0</v>
      </c>
      <c r="C14" s="1">
        <v>0.21145656107303901</v>
      </c>
      <c r="D14" s="1">
        <v>0.48438543950517898</v>
      </c>
      <c r="E14" s="1">
        <v>3.3174922555190202E-4</v>
      </c>
      <c r="F14" s="1">
        <v>1.21699413284659E-3</v>
      </c>
      <c r="G14" s="1">
        <v>0.127184058132115</v>
      </c>
      <c r="H14" s="1">
        <f>AVERAGE(C14:G14)</f>
        <v>0.16491496041374629</v>
      </c>
      <c r="I14" s="1"/>
      <c r="J14" s="1">
        <f t="shared" ref="J14:J16" si="1">MAX(C14-G14, D14-G14,E14-G14,F14-G14)</f>
        <v>0.35720138137306401</v>
      </c>
      <c r="K14" s="1">
        <f>C14</f>
        <v>0.21145656107303901</v>
      </c>
    </row>
    <row r="15" spans="1:12" x14ac:dyDescent="0.3">
      <c r="A15" t="s">
        <v>24</v>
      </c>
      <c r="B15" s="1">
        <v>0.68414774164557401</v>
      </c>
      <c r="C15" s="1">
        <v>0.65008285144964795</v>
      </c>
      <c r="D15" s="1">
        <v>0.54908286469678003</v>
      </c>
      <c r="E15" s="1">
        <v>0.73734547197818701</v>
      </c>
      <c r="F15" s="8">
        <v>6.22832366692212E-3</v>
      </c>
      <c r="G15" s="1">
        <v>0.67159034311771304</v>
      </c>
      <c r="H15" s="1">
        <f>AVERAGE(C15:G15)</f>
        <v>0.52286597098184995</v>
      </c>
      <c r="I15" s="1"/>
      <c r="J15" s="1">
        <f t="shared" si="1"/>
        <v>6.5755128860473966E-2</v>
      </c>
      <c r="K15" s="1">
        <f>AVERAGE(C15,D15)</f>
        <v>0.59958285807321399</v>
      </c>
    </row>
    <row r="16" spans="1:12" x14ac:dyDescent="0.3">
      <c r="A16" t="s">
        <v>25</v>
      </c>
      <c r="B16" s="1">
        <v>1.3734113525742901E-4</v>
      </c>
      <c r="C16" s="1">
        <v>9.0833478134299997E-4</v>
      </c>
      <c r="D16" s="1">
        <v>4.4239243470656198E-4</v>
      </c>
      <c r="E16" s="1">
        <v>2.87870376458461E-4</v>
      </c>
      <c r="F16" s="1">
        <v>0.97618492692708903</v>
      </c>
      <c r="G16" s="1">
        <v>3.5645910626650801E-4</v>
      </c>
      <c r="H16" s="1">
        <f>AVERAGE(C16:G16)</f>
        <v>0.19563599672517271</v>
      </c>
      <c r="I16" s="1"/>
      <c r="J16" s="1">
        <f t="shared" si="1"/>
        <v>0.97582846782082255</v>
      </c>
      <c r="K16" s="1">
        <f>AVERAGE(C16, D16, E16)</f>
        <v>5.461991975026743E-4</v>
      </c>
    </row>
    <row r="17" spans="1:12" x14ac:dyDescent="0.3">
      <c r="A17" t="s">
        <v>26</v>
      </c>
      <c r="B17" s="1">
        <v>0</v>
      </c>
      <c r="C17" s="1">
        <v>4.1772178316023201E-2</v>
      </c>
      <c r="D17" s="1">
        <v>6.2139134189540798E-2</v>
      </c>
      <c r="E17" s="1">
        <v>4.4007857407753599E-4</v>
      </c>
      <c r="F17" s="1">
        <v>1.29249074719458E-3</v>
      </c>
      <c r="G17" s="1">
        <v>0.45818797374765002</v>
      </c>
      <c r="H17" s="1">
        <f>AVERAGE(C17:G17)</f>
        <v>0.11276637111489722</v>
      </c>
      <c r="I17" s="1"/>
      <c r="J17" s="1"/>
      <c r="K17" s="1">
        <f>AVERAGE(C17, D17, E17,F17)</f>
        <v>2.6410970456709027E-2</v>
      </c>
    </row>
    <row r="18" spans="1:12" x14ac:dyDescent="0.3">
      <c r="A18" t="s">
        <v>1</v>
      </c>
      <c r="B18" s="1">
        <v>0.97939257323741902</v>
      </c>
      <c r="C18" s="1">
        <v>0.97989982366561801</v>
      </c>
      <c r="D18" s="1">
        <v>0.96813349425792605</v>
      </c>
      <c r="E18" s="1">
        <v>0.98037098348140705</v>
      </c>
      <c r="F18" s="1">
        <v>0.22568856552243199</v>
      </c>
      <c r="G18" s="1">
        <v>0.97641868889331795</v>
      </c>
      <c r="L18" s="2">
        <f>AVERAGE(B18-G18)</f>
        <v>2.9738843441010632E-3</v>
      </c>
    </row>
    <row r="19" spans="1:12" s="5" customFormat="1" x14ac:dyDescent="0.3">
      <c r="A19" s="4" t="s">
        <v>5</v>
      </c>
      <c r="B19" s="2"/>
      <c r="C19" s="2"/>
      <c r="D19" s="2"/>
      <c r="E19" s="2"/>
      <c r="F19" s="2"/>
      <c r="G19" s="2"/>
      <c r="H19" s="2">
        <f>AVERAGE(H13:H17)</f>
        <v>0.2144481491719501</v>
      </c>
      <c r="I19" s="2">
        <f>AVERAGE(G13:G17)</f>
        <v>0.25267547953192915</v>
      </c>
      <c r="J19" s="2">
        <f>AVERAGE(J13:J16)</f>
        <v>0.42555171268058206</v>
      </c>
      <c r="K19" s="2">
        <f>AVERAGE(K13:K18)</f>
        <v>0.20949914720011617</v>
      </c>
    </row>
    <row r="21" spans="1:12" s="5" customFormat="1" x14ac:dyDescent="0.3">
      <c r="A21" s="59" t="s">
        <v>7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s="3" customFormat="1" ht="28.8" x14ac:dyDescent="0.3">
      <c r="B22" s="3" t="s">
        <v>0</v>
      </c>
      <c r="C22" s="3" t="s">
        <v>22</v>
      </c>
      <c r="D22" s="3" t="s">
        <v>23</v>
      </c>
      <c r="E22" s="3" t="s">
        <v>24</v>
      </c>
      <c r="F22" s="3" t="s">
        <v>25</v>
      </c>
      <c r="G22" s="3" t="s">
        <v>26</v>
      </c>
      <c r="H22" s="4" t="s">
        <v>20</v>
      </c>
      <c r="I22" s="4" t="s">
        <v>28</v>
      </c>
      <c r="J22" s="4" t="s">
        <v>21</v>
      </c>
      <c r="K22" s="4" t="s">
        <v>4</v>
      </c>
      <c r="L22" s="4" t="s">
        <v>29</v>
      </c>
    </row>
    <row r="23" spans="1:12" x14ac:dyDescent="0.3">
      <c r="A23" t="s">
        <v>22</v>
      </c>
      <c r="B23" s="1">
        <v>0</v>
      </c>
      <c r="C23" s="1">
        <v>0.196520293141171</v>
      </c>
      <c r="D23" s="1">
        <v>4.36017364409053E-2</v>
      </c>
      <c r="E23" s="1">
        <v>7.3056532225261096E-4</v>
      </c>
      <c r="F23" s="1">
        <v>1.34216823304692E-3</v>
      </c>
      <c r="G23" s="1">
        <v>1.24722089732737E-2</v>
      </c>
      <c r="H23" s="1">
        <f>AVERAGE(C23:G23)</f>
        <v>5.0933394422129907E-2</v>
      </c>
      <c r="I23" s="1"/>
      <c r="J23" s="1">
        <f>MAX(C23-G23, D23-G23,E23-G23,F23-G23)</f>
        <v>0.18404808416789731</v>
      </c>
      <c r="K23" s="1"/>
    </row>
    <row r="24" spans="1:12" x14ac:dyDescent="0.3">
      <c r="A24" t="s">
        <v>23</v>
      </c>
      <c r="B24" s="1">
        <v>0</v>
      </c>
      <c r="C24" s="1">
        <v>0.15898388317630899</v>
      </c>
      <c r="D24" s="1">
        <v>0.39472780500848997</v>
      </c>
      <c r="E24" s="1">
        <v>3.1308757994944798E-4</v>
      </c>
      <c r="F24" s="1">
        <v>1.1816833915266501E-3</v>
      </c>
      <c r="G24" s="1">
        <v>0.142496658838354</v>
      </c>
      <c r="H24" s="1">
        <f>AVERAGE(C24:G24)</f>
        <v>0.13954062359892583</v>
      </c>
      <c r="I24" s="1"/>
      <c r="J24" s="1">
        <f t="shared" ref="J24:J26" si="2">MAX(C24-G24, D24-G24,E24-G24,F24-G24)</f>
        <v>0.25223114617013598</v>
      </c>
      <c r="K24" s="1">
        <f>C24</f>
        <v>0.15898388317630899</v>
      </c>
    </row>
    <row r="25" spans="1:12" x14ac:dyDescent="0.3">
      <c r="A25" t="s">
        <v>24</v>
      </c>
      <c r="B25" s="1">
        <v>0.68415092180172599</v>
      </c>
      <c r="C25" s="1">
        <v>0.65696307520071595</v>
      </c>
      <c r="D25" s="1">
        <v>0.65316268677512801</v>
      </c>
      <c r="E25" s="1">
        <v>0.722541693598032</v>
      </c>
      <c r="F25" s="8">
        <v>6.03742930494869E-3</v>
      </c>
      <c r="G25" s="1">
        <v>0.68878000850478804</v>
      </c>
      <c r="H25" s="1">
        <f>AVERAGE(C25:G25)</f>
        <v>0.54549697867672253</v>
      </c>
      <c r="I25" s="1"/>
      <c r="J25" s="1">
        <f t="shared" si="2"/>
        <v>3.3761685093243954E-2</v>
      </c>
      <c r="K25" s="1">
        <f>AVERAGE(C25,D25)</f>
        <v>0.65506288098792198</v>
      </c>
    </row>
    <row r="26" spans="1:12" x14ac:dyDescent="0.3">
      <c r="A26" t="s">
        <v>25</v>
      </c>
      <c r="B26" s="1">
        <v>1.3723343806759601E-4</v>
      </c>
      <c r="C26" s="1">
        <v>9.3531976805631201E-4</v>
      </c>
      <c r="D26" s="1">
        <v>4.7733487614702098E-4</v>
      </c>
      <c r="E26" s="1">
        <v>2.6431382832470198E-4</v>
      </c>
      <c r="F26" s="1">
        <v>0.99328813701868002</v>
      </c>
      <c r="G26" s="1">
        <v>4.5495059945702999E-4</v>
      </c>
      <c r="H26" s="1">
        <f>AVERAGE(C26:G26)</f>
        <v>0.19908401121813302</v>
      </c>
      <c r="I26" s="1"/>
      <c r="J26" s="1">
        <f t="shared" si="2"/>
        <v>0.99283318641922302</v>
      </c>
      <c r="K26" s="1">
        <f>AVERAGE(C26, D26, E26)</f>
        <v>5.5898949084267832E-4</v>
      </c>
    </row>
    <row r="27" spans="1:12" x14ac:dyDescent="0.3">
      <c r="A27" t="s">
        <v>26</v>
      </c>
      <c r="B27" s="1">
        <v>0</v>
      </c>
      <c r="C27" s="1">
        <v>2.7560726649729299E-2</v>
      </c>
      <c r="D27" s="1">
        <v>4.9843502789978303E-2</v>
      </c>
      <c r="E27" s="1">
        <v>3.2006590239082701E-4</v>
      </c>
      <c r="F27" s="1">
        <v>1.2547770917687199E-3</v>
      </c>
      <c r="G27" s="1">
        <v>0.34662241302430602</v>
      </c>
      <c r="H27" s="1">
        <f>AVERAGE(C27:G27)</f>
        <v>8.5120297091634628E-2</v>
      </c>
      <c r="I27" s="1"/>
      <c r="J27" s="1"/>
      <c r="K27" s="1">
        <f>AVERAGE(C27, D27, E27,F27)</f>
        <v>1.9744768108466784E-2</v>
      </c>
    </row>
    <row r="28" spans="1:12" x14ac:dyDescent="0.3">
      <c r="A28" t="s">
        <v>1</v>
      </c>
      <c r="B28" s="1">
        <v>0.97939328849315599</v>
      </c>
      <c r="C28" s="1">
        <v>0.97772973775863603</v>
      </c>
      <c r="D28" s="1">
        <v>0.97980777919292406</v>
      </c>
      <c r="E28" s="1">
        <v>0.98079250752925795</v>
      </c>
      <c r="F28" s="1">
        <v>0.21918649971485099</v>
      </c>
      <c r="G28" s="1">
        <v>0.980287805199623</v>
      </c>
      <c r="L28" s="2">
        <f>AVERAGE(B28-G28)</f>
        <v>-8.9451670646700787E-4</v>
      </c>
    </row>
    <row r="29" spans="1:12" s="5" customFormat="1" x14ac:dyDescent="0.3">
      <c r="A29" s="4" t="s">
        <v>5</v>
      </c>
      <c r="B29" s="2"/>
      <c r="C29" s="2"/>
      <c r="D29" s="2"/>
      <c r="E29" s="2"/>
      <c r="F29" s="2"/>
      <c r="G29" s="2"/>
      <c r="H29" s="2">
        <f>AVERAGE(H23:H27)</f>
        <v>0.2040350610015092</v>
      </c>
      <c r="I29" s="2">
        <f>AVERAGE(G23:G27)</f>
        <v>0.23816524798803576</v>
      </c>
      <c r="J29" s="2">
        <f>AVERAGE(J23:J26)</f>
        <v>0.36571852546262507</v>
      </c>
      <c r="K29" s="2">
        <f>AVERAGE(K23:K28)</f>
        <v>0.2085876304408851</v>
      </c>
    </row>
    <row r="30" spans="1:12" x14ac:dyDescent="0.3">
      <c r="A30"/>
    </row>
    <row r="31" spans="1:12" s="5" customFormat="1" x14ac:dyDescent="0.3">
      <c r="A31" s="59" t="s">
        <v>8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</row>
    <row r="32" spans="1:12" s="3" customFormat="1" ht="28.8" x14ac:dyDescent="0.3">
      <c r="B32" s="3" t="s">
        <v>0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26</v>
      </c>
      <c r="H32" s="4" t="s">
        <v>20</v>
      </c>
      <c r="I32" s="4" t="s">
        <v>28</v>
      </c>
      <c r="J32" s="4" t="s">
        <v>21</v>
      </c>
      <c r="K32" s="4" t="s">
        <v>4</v>
      </c>
      <c r="L32" s="4" t="s">
        <v>29</v>
      </c>
    </row>
    <row r="33" spans="1:12" x14ac:dyDescent="0.3">
      <c r="A33" t="s">
        <v>22</v>
      </c>
      <c r="B33" s="1">
        <v>0</v>
      </c>
      <c r="C33" s="1">
        <v>5.5426492055024298E-2</v>
      </c>
      <c r="D33" s="1">
        <v>2.3582633684782101E-2</v>
      </c>
      <c r="E33" s="1">
        <v>5.4767120794470703E-4</v>
      </c>
      <c r="F33" s="1">
        <v>1.35217133113959E-3</v>
      </c>
      <c r="G33" s="1">
        <v>2.01368590208706E-2</v>
      </c>
      <c r="H33" s="1">
        <f>AVERAGE(C33:G33)</f>
        <v>2.0209165459952258E-2</v>
      </c>
      <c r="I33" s="1"/>
      <c r="J33" s="1">
        <f>MAX(C33-G33, D33-G33,E33-G33,F33-G33)</f>
        <v>3.5289633034153695E-2</v>
      </c>
      <c r="K33" s="1"/>
    </row>
    <row r="34" spans="1:12" x14ac:dyDescent="0.3">
      <c r="A34" t="s">
        <v>23</v>
      </c>
      <c r="B34" s="1">
        <v>0</v>
      </c>
      <c r="C34" s="1">
        <v>5.45344855839478E-2</v>
      </c>
      <c r="D34" s="1">
        <v>0.24183607070396301</v>
      </c>
      <c r="E34" s="1">
        <v>2.4061251800352001E-4</v>
      </c>
      <c r="F34" s="1">
        <v>1.19020938048682E-3</v>
      </c>
      <c r="G34" s="1">
        <v>0.13680706999730299</v>
      </c>
      <c r="H34" s="1">
        <f>AVERAGE(C34:G34)</f>
        <v>8.6921689636740823E-2</v>
      </c>
      <c r="I34" s="1"/>
      <c r="J34" s="1">
        <f t="shared" ref="J34:J36" si="3">MAX(C34-G34, D34-G34,E34-G34,F34-G34)</f>
        <v>0.10502900070666002</v>
      </c>
      <c r="K34" s="1">
        <f>C34</f>
        <v>5.45344855839478E-2</v>
      </c>
    </row>
    <row r="35" spans="1:12" x14ac:dyDescent="0.3">
      <c r="A35" t="s">
        <v>24</v>
      </c>
      <c r="B35" s="1">
        <v>0.68415092180172599</v>
      </c>
      <c r="C35" s="1">
        <v>0.68765560537576598</v>
      </c>
      <c r="D35" s="1">
        <v>0.68369843934972996</v>
      </c>
      <c r="E35" s="1">
        <v>0.71639659752448404</v>
      </c>
      <c r="F35" s="8">
        <v>6.0851364590537999E-3</v>
      </c>
      <c r="G35" s="1">
        <v>0.679190787176291</v>
      </c>
      <c r="H35" s="1">
        <f>AVERAGE(C35:G35)</f>
        <v>0.55460531317706496</v>
      </c>
      <c r="I35" s="1"/>
      <c r="J35" s="1">
        <f t="shared" si="3"/>
        <v>3.7205810348193036E-2</v>
      </c>
      <c r="K35" s="1">
        <f>AVERAGE(C35,D35)</f>
        <v>0.68567702236274797</v>
      </c>
    </row>
    <row r="36" spans="1:12" x14ac:dyDescent="0.3">
      <c r="A36" t="s">
        <v>25</v>
      </c>
      <c r="B36" s="1">
        <v>1.3723343806759601E-4</v>
      </c>
      <c r="C36" s="1">
        <v>4.6497720995830599E-4</v>
      </c>
      <c r="D36" s="1">
        <v>5.2811463751822798E-4</v>
      </c>
      <c r="E36" s="1">
        <v>2.5252509158235598E-4</v>
      </c>
      <c r="F36" s="1">
        <v>0.98835562666257204</v>
      </c>
      <c r="G36" s="1">
        <v>6.3963253622508398E-4</v>
      </c>
      <c r="H36" s="1">
        <f>AVERAGE(C36:G36)</f>
        <v>0.1980481752275712</v>
      </c>
      <c r="I36" s="1"/>
      <c r="J36" s="1">
        <f t="shared" si="3"/>
        <v>0.98771599412634692</v>
      </c>
      <c r="K36" s="1">
        <f>AVERAGE(C36, D36, E36)</f>
        <v>4.1520564635296337E-4</v>
      </c>
    </row>
    <row r="37" spans="1:12" x14ac:dyDescent="0.3">
      <c r="A37" t="s">
        <v>26</v>
      </c>
      <c r="B37" s="1">
        <v>0</v>
      </c>
      <c r="C37" s="1">
        <v>5.5576539640848398E-3</v>
      </c>
      <c r="D37" s="1">
        <v>3.52936685973569E-2</v>
      </c>
      <c r="E37" s="1">
        <v>1.7551476776134201E-4</v>
      </c>
      <c r="F37" s="1">
        <v>1.2635246675927101E-3</v>
      </c>
      <c r="G37" s="1">
        <v>0.274420363207658</v>
      </c>
      <c r="H37" s="1">
        <f>AVERAGE(C37:G37)</f>
        <v>6.3342145040890765E-2</v>
      </c>
      <c r="I37" s="1"/>
      <c r="J37" s="1"/>
      <c r="K37" s="1">
        <f>AVERAGE(C37, D37, E37,F37)</f>
        <v>1.0572590499198949E-2</v>
      </c>
    </row>
    <row r="38" spans="1:12" x14ac:dyDescent="0.3">
      <c r="A38" t="s">
        <v>1</v>
      </c>
      <c r="B38" s="1">
        <v>0.97939328849315599</v>
      </c>
      <c r="C38" s="1">
        <v>0.97743073105811995</v>
      </c>
      <c r="D38" s="1">
        <v>0.97962865233421303</v>
      </c>
      <c r="E38" s="1">
        <v>0.98068057000636999</v>
      </c>
      <c r="F38" s="1">
        <v>0.22078581154346399</v>
      </c>
      <c r="G38" s="1">
        <v>0.97563105821609497</v>
      </c>
      <c r="L38" s="2">
        <f>AVERAGE(B38-G38)</f>
        <v>3.7622302770610183E-3</v>
      </c>
    </row>
    <row r="39" spans="1:12" s="5" customFormat="1" x14ac:dyDescent="0.3">
      <c r="A39" s="4" t="s">
        <v>5</v>
      </c>
      <c r="B39" s="2"/>
      <c r="C39" s="2"/>
      <c r="D39" s="2"/>
      <c r="E39" s="2"/>
      <c r="F39" s="2"/>
      <c r="G39" s="2"/>
      <c r="H39" s="2">
        <f>AVERAGE(H33:H37)</f>
        <v>0.18462529770844399</v>
      </c>
      <c r="I39" s="2">
        <f>AVERAGE(G33:G37)</f>
        <v>0.22223894238766953</v>
      </c>
      <c r="J39" s="2">
        <f>AVERAGE(J33:J36)</f>
        <v>0.2913101095538384</v>
      </c>
      <c r="K39" s="2">
        <f>AVERAGE(K33:K38)</f>
        <v>0.18779982602306192</v>
      </c>
    </row>
    <row r="41" spans="1:12" s="5" customFormat="1" x14ac:dyDescent="0.3">
      <c r="A41" s="59" t="s">
        <v>9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</row>
    <row r="42" spans="1:12" s="3" customFormat="1" ht="28.8" x14ac:dyDescent="0.3">
      <c r="B42" s="3" t="s">
        <v>0</v>
      </c>
      <c r="C42" s="3" t="s">
        <v>22</v>
      </c>
      <c r="D42" s="3" t="s">
        <v>23</v>
      </c>
      <c r="E42" s="3" t="s">
        <v>24</v>
      </c>
      <c r="F42" s="3" t="s">
        <v>25</v>
      </c>
      <c r="G42" s="3" t="s">
        <v>26</v>
      </c>
      <c r="H42" s="4" t="s">
        <v>20</v>
      </c>
      <c r="I42" s="4" t="s">
        <v>28</v>
      </c>
      <c r="J42" s="4" t="s">
        <v>21</v>
      </c>
      <c r="K42" s="4" t="s">
        <v>4</v>
      </c>
      <c r="L42" s="4" t="s">
        <v>29</v>
      </c>
    </row>
    <row r="43" spans="1:12" x14ac:dyDescent="0.3">
      <c r="A43" t="s">
        <v>22</v>
      </c>
      <c r="B43" s="1">
        <v>0</v>
      </c>
      <c r="C43" s="1">
        <v>2.42366400504276E-2</v>
      </c>
      <c r="D43" s="1">
        <v>2.0000378701903701E-2</v>
      </c>
      <c r="E43" s="1">
        <v>3.9573779880205001E-4</v>
      </c>
      <c r="F43" s="1">
        <v>1.35234193779372E-3</v>
      </c>
      <c r="G43" s="1">
        <v>1.35713540233458E-2</v>
      </c>
      <c r="H43" s="1">
        <f>AVERAGE(C43:G43)</f>
        <v>1.1911290502454572E-2</v>
      </c>
      <c r="I43" s="1"/>
      <c r="J43" s="1">
        <f>MAX(C43-G43, D43-G43,E43-G43,F43-G43)</f>
        <v>1.06652860270818E-2</v>
      </c>
      <c r="K43" s="1"/>
    </row>
    <row r="44" spans="1:12" x14ac:dyDescent="0.3">
      <c r="A44" t="s">
        <v>23</v>
      </c>
      <c r="B44" s="1">
        <v>0</v>
      </c>
      <c r="C44" s="1">
        <v>2.41675280509904E-2</v>
      </c>
      <c r="D44" s="1">
        <v>0.19757787875520599</v>
      </c>
      <c r="E44" s="1">
        <v>1.9571414062132401E-4</v>
      </c>
      <c r="F44" s="1">
        <v>1.1908382075489399E-3</v>
      </c>
      <c r="G44" s="1">
        <v>7.67216672684298E-2</v>
      </c>
      <c r="H44" s="1">
        <f>AVERAGE(C44:G44)</f>
        <v>5.9970725284559288E-2</v>
      </c>
      <c r="I44" s="1"/>
      <c r="J44" s="1">
        <f t="shared" ref="J44:J46" si="4">MAX(C44-G44, D44-G44,E44-G44,F44-G44)</f>
        <v>0.12085621148677619</v>
      </c>
      <c r="K44" s="1">
        <f>C44</f>
        <v>2.41675280509904E-2</v>
      </c>
    </row>
    <row r="45" spans="1:12" x14ac:dyDescent="0.3">
      <c r="A45" t="s">
        <v>24</v>
      </c>
      <c r="B45" s="1">
        <v>0.68414774164557401</v>
      </c>
      <c r="C45" s="1">
        <v>0.69644595930973596</v>
      </c>
      <c r="D45" s="1">
        <v>0.68292645240823402</v>
      </c>
      <c r="E45" s="1">
        <v>0.71363739048441199</v>
      </c>
      <c r="F45" s="8">
        <v>6.08799008963008E-3</v>
      </c>
      <c r="G45" s="1">
        <v>0.68736360470453794</v>
      </c>
      <c r="H45" s="1">
        <f>AVERAGE(C45:G45)</f>
        <v>0.55729227939931003</v>
      </c>
      <c r="I45" s="1"/>
      <c r="J45" s="1">
        <f t="shared" si="4"/>
        <v>2.6273785779874048E-2</v>
      </c>
      <c r="K45" s="1">
        <f>AVERAGE(C45,D45)</f>
        <v>0.68968620585898499</v>
      </c>
    </row>
    <row r="46" spans="1:12" x14ac:dyDescent="0.3">
      <c r="A46" t="s">
        <v>25</v>
      </c>
      <c r="B46" s="1">
        <v>1.3734113525742901E-4</v>
      </c>
      <c r="C46" s="1">
        <v>3.58606652374267E-4</v>
      </c>
      <c r="D46" s="1">
        <v>6.0474014753708605E-4</v>
      </c>
      <c r="E46" s="1">
        <v>2.42190675104817E-4</v>
      </c>
      <c r="F46" s="1">
        <v>0.987341448664665</v>
      </c>
      <c r="G46" s="1">
        <v>4.9106777540449298E-4</v>
      </c>
      <c r="H46" s="1">
        <f>AVERAGE(C46:G46)</f>
        <v>0.19780761078301715</v>
      </c>
      <c r="I46" s="1"/>
      <c r="J46" s="1">
        <f t="shared" si="4"/>
        <v>0.98685038088926047</v>
      </c>
      <c r="K46" s="1">
        <f>AVERAGE(C46, D46, E46)</f>
        <v>4.0184582500539003E-4</v>
      </c>
    </row>
    <row r="47" spans="1:12" x14ac:dyDescent="0.3">
      <c r="A47" t="s">
        <v>26</v>
      </c>
      <c r="B47" s="1">
        <v>0</v>
      </c>
      <c r="C47" s="1">
        <v>3.0804972824019601E-3</v>
      </c>
      <c r="D47" s="1">
        <v>2.4019473006925699E-2</v>
      </c>
      <c r="E47" s="1">
        <v>1.06434209252862E-4</v>
      </c>
      <c r="F47" s="1">
        <v>1.2620405226092099E-3</v>
      </c>
      <c r="G47" s="1">
        <v>0.19788879000892201</v>
      </c>
      <c r="H47" s="1">
        <f>AVERAGE(C47:G47)</f>
        <v>4.5271447006022349E-2</v>
      </c>
      <c r="I47" s="1"/>
      <c r="J47" s="1"/>
      <c r="K47" s="1">
        <f>AVERAGE(C47, D47, E47,F47)</f>
        <v>7.1171112552974322E-3</v>
      </c>
    </row>
    <row r="48" spans="1:12" x14ac:dyDescent="0.3">
      <c r="A48" t="s">
        <v>1</v>
      </c>
      <c r="B48" s="1">
        <v>0.97939257323741902</v>
      </c>
      <c r="C48" s="1">
        <v>0.97930407524108798</v>
      </c>
      <c r="D48" s="1">
        <v>0.97873342037200906</v>
      </c>
      <c r="E48" s="1">
        <v>0.98066949844360296</v>
      </c>
      <c r="F48" s="1">
        <v>0.219958405941724</v>
      </c>
      <c r="G48" s="1">
        <v>0.97631995379924696</v>
      </c>
      <c r="L48" s="2">
        <f>AVERAGE(B48-G48)</f>
        <v>3.0726194381720529E-3</v>
      </c>
    </row>
    <row r="49" spans="1:12" s="5" customFormat="1" x14ac:dyDescent="0.3">
      <c r="A49" s="4" t="s">
        <v>5</v>
      </c>
      <c r="B49" s="2"/>
      <c r="C49" s="2"/>
      <c r="D49" s="2"/>
      <c r="E49" s="2"/>
      <c r="F49" s="2"/>
      <c r="G49" s="2"/>
      <c r="H49" s="2">
        <f>AVERAGE(H43:H47)</f>
        <v>0.17445067059507269</v>
      </c>
      <c r="I49" s="2">
        <f>AVERAGE(G43:G47)</f>
        <v>0.19520729675612802</v>
      </c>
      <c r="J49" s="2">
        <f>AVERAGE(J43:J46)</f>
        <v>0.28616141604574813</v>
      </c>
      <c r="K49" s="2">
        <f>AVERAGE(K43:K48)</f>
        <v>0.18034317274756956</v>
      </c>
    </row>
    <row r="51" spans="1:12" s="7" customFormat="1" x14ac:dyDescent="0.3">
      <c r="A51" s="60" t="s">
        <v>10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spans="1:12" s="3" customFormat="1" ht="28.8" x14ac:dyDescent="0.3">
      <c r="B52" s="3" t="s">
        <v>0</v>
      </c>
      <c r="C52" s="3" t="s">
        <v>26</v>
      </c>
      <c r="D52" s="3" t="s">
        <v>25</v>
      </c>
      <c r="E52" s="3" t="s">
        <v>24</v>
      </c>
      <c r="F52" s="3" t="s">
        <v>23</v>
      </c>
      <c r="G52" s="3" t="s">
        <v>22</v>
      </c>
      <c r="H52" s="4" t="s">
        <v>20</v>
      </c>
      <c r="I52" s="4" t="s">
        <v>28</v>
      </c>
      <c r="J52" s="4" t="s">
        <v>21</v>
      </c>
      <c r="K52" s="4" t="s">
        <v>4</v>
      </c>
      <c r="L52" s="4" t="s">
        <v>29</v>
      </c>
    </row>
    <row r="53" spans="1:12" x14ac:dyDescent="0.3">
      <c r="A53" t="s">
        <v>27</v>
      </c>
      <c r="B53" s="1">
        <v>0</v>
      </c>
      <c r="C53" s="1">
        <v>0.511857553074757</v>
      </c>
      <c r="D53" s="1">
        <v>1.28706667358831E-3</v>
      </c>
      <c r="E53" s="1">
        <v>2.5797599907188303E-4</v>
      </c>
      <c r="F53" s="1">
        <v>7.7047764409144195E-2</v>
      </c>
      <c r="G53" s="1">
        <v>2.9284667106670201E-2</v>
      </c>
      <c r="H53" s="1">
        <f>AVERAGE(C53:G53)</f>
        <v>0.12394700545264632</v>
      </c>
      <c r="I53" s="1"/>
      <c r="J53" s="1">
        <f>MAX(C53-G53, D53-G53,E53-G53,F53-G53)</f>
        <v>0.48257288596808678</v>
      </c>
      <c r="K53" s="1"/>
    </row>
    <row r="54" spans="1:12" x14ac:dyDescent="0.3">
      <c r="A54" t="s">
        <v>25</v>
      </c>
      <c r="B54" s="1">
        <v>1.3723343806759601E-4</v>
      </c>
      <c r="C54" s="1">
        <v>2.7064519000911399E-4</v>
      </c>
      <c r="D54" s="1">
        <v>0.98011126865943199</v>
      </c>
      <c r="E54" s="1">
        <v>2.8498944148698898E-4</v>
      </c>
      <c r="F54" s="1">
        <v>3.9663432865684901E-4</v>
      </c>
      <c r="G54" s="1">
        <v>2.3616286633417301E-4</v>
      </c>
      <c r="H54" s="1">
        <f>AVERAGE(C54:G54)</f>
        <v>0.19625994009718384</v>
      </c>
      <c r="I54" s="1"/>
      <c r="J54" s="1">
        <f t="shared" ref="J54:J56" si="5">MAX(C54-G54, D54-G54,E54-G54,F54-G54)</f>
        <v>0.97987510579309778</v>
      </c>
      <c r="K54" s="1">
        <f>C54</f>
        <v>2.7064519000911399E-4</v>
      </c>
    </row>
    <row r="55" spans="1:12" x14ac:dyDescent="0.3">
      <c r="A55" t="s">
        <v>24</v>
      </c>
      <c r="B55" s="1">
        <v>0.68415092180172599</v>
      </c>
      <c r="C55" s="1">
        <v>0.64350967730084996</v>
      </c>
      <c r="D55" s="8">
        <v>6.1918391438666696E-3</v>
      </c>
      <c r="E55" s="1">
        <v>0.74793407817681601</v>
      </c>
      <c r="F55" s="1">
        <v>0.488042397424578</v>
      </c>
      <c r="G55" s="1">
        <v>0.48986410473783798</v>
      </c>
      <c r="H55" s="1">
        <f>AVERAGE(C55:G55)</f>
        <v>0.47510841935678971</v>
      </c>
      <c r="I55" s="1"/>
      <c r="J55" s="1">
        <f t="shared" si="5"/>
        <v>0.25806997343897803</v>
      </c>
      <c r="K55" s="1">
        <f>AVERAGE(C55,D55)</f>
        <v>0.32485075822235832</v>
      </c>
    </row>
    <row r="56" spans="1:12" x14ac:dyDescent="0.3">
      <c r="A56" t="s">
        <v>23</v>
      </c>
      <c r="B56" s="1">
        <v>0</v>
      </c>
      <c r="C56" s="1">
        <v>0.104828719432892</v>
      </c>
      <c r="D56" s="1">
        <v>1.2113158009015E-3</v>
      </c>
      <c r="E56" s="1">
        <v>1.0296594209648899E-3</v>
      </c>
      <c r="F56" s="1">
        <v>0.51553703099489201</v>
      </c>
      <c r="G56" s="1">
        <v>0.240985282657978</v>
      </c>
      <c r="H56" s="1">
        <f>AVERAGE(C56:G56)</f>
        <v>0.17271840166152569</v>
      </c>
      <c r="I56" s="1"/>
      <c r="J56" s="1">
        <f t="shared" si="5"/>
        <v>0.27455174833691398</v>
      </c>
      <c r="K56" s="1">
        <f>AVERAGE(C56, D56, E56)</f>
        <v>3.5689898218252795E-2</v>
      </c>
    </row>
    <row r="57" spans="1:12" x14ac:dyDescent="0.3">
      <c r="A57" t="s">
        <v>22</v>
      </c>
      <c r="B57" s="1">
        <v>0</v>
      </c>
      <c r="C57" s="1">
        <v>3.3798585645854399E-3</v>
      </c>
      <c r="D57" s="1">
        <v>1.3767816878195499E-3</v>
      </c>
      <c r="E57" s="1">
        <v>4.2637939623091299E-4</v>
      </c>
      <c r="F57" s="1">
        <v>9.0148608343345801E-2</v>
      </c>
      <c r="G57" s="1">
        <v>0.59937477856874399</v>
      </c>
      <c r="H57" s="1">
        <f>AVERAGE(C57:G57)</f>
        <v>0.13894128131214514</v>
      </c>
      <c r="I57" s="1"/>
      <c r="J57" s="1"/>
      <c r="K57" s="1">
        <f>AVERAGE(C57, D57, E57,F57)</f>
        <v>2.3832906997995427E-2</v>
      </c>
    </row>
    <row r="58" spans="1:12" x14ac:dyDescent="0.3">
      <c r="A58" t="s">
        <v>1</v>
      </c>
      <c r="B58" s="1">
        <v>0.97939328849315599</v>
      </c>
      <c r="C58" s="1">
        <v>0.95969225466251296</v>
      </c>
      <c r="D58" s="1">
        <v>0.22939470782876001</v>
      </c>
      <c r="E58" s="1">
        <v>0.98004531860351496</v>
      </c>
      <c r="F58" s="1">
        <v>0.89908768236637104</v>
      </c>
      <c r="G58" s="1">
        <v>0.94319154322147303</v>
      </c>
      <c r="L58" s="2">
        <f>AVERAGE(B58-G58)</f>
        <v>3.6201745271682961E-2</v>
      </c>
    </row>
    <row r="59" spans="1:12" s="5" customFormat="1" x14ac:dyDescent="0.3">
      <c r="A59" s="4" t="s">
        <v>5</v>
      </c>
      <c r="B59" s="2"/>
      <c r="C59" s="2"/>
      <c r="D59" s="2"/>
      <c r="E59" s="2"/>
      <c r="F59" s="2"/>
      <c r="G59" s="2"/>
      <c r="H59" s="2">
        <f>AVERAGE(H53:H57)</f>
        <v>0.22139500957605812</v>
      </c>
      <c r="I59" s="2">
        <f>AVERAGE(G53:G57)</f>
        <v>0.27194899918751292</v>
      </c>
      <c r="J59" s="2">
        <f>AVERAGE(J53:J56)</f>
        <v>0.49876742838426913</v>
      </c>
      <c r="K59" s="2">
        <f>AVERAGE(K53:K58)</f>
        <v>9.6161052157153926E-2</v>
      </c>
    </row>
  </sheetData>
  <mergeCells count="6">
    <mergeCell ref="A31:L31"/>
    <mergeCell ref="A41:L41"/>
    <mergeCell ref="A51:L51"/>
    <mergeCell ref="A1:L1"/>
    <mergeCell ref="A11:L11"/>
    <mergeCell ref="A21:L21"/>
  </mergeCells>
  <conditionalFormatting sqref="B3:G8">
    <cfRule type="cellIs" dxfId="149" priority="26" operator="between">
      <formula>0.1</formula>
      <formula>0.2</formula>
    </cfRule>
    <cfRule type="cellIs" dxfId="148" priority="27" operator="between">
      <formula>0.2</formula>
      <formula>0.4</formula>
    </cfRule>
    <cfRule type="cellIs" dxfId="147" priority="28" operator="between">
      <formula>0.4</formula>
      <formula>0.6</formula>
    </cfRule>
    <cfRule type="cellIs" dxfId="146" priority="29" operator="between">
      <formula>0.6</formula>
      <formula>0.8</formula>
    </cfRule>
    <cfRule type="cellIs" dxfId="145" priority="30" operator="between">
      <formula>0.8</formula>
      <formula>1</formula>
    </cfRule>
  </conditionalFormatting>
  <conditionalFormatting sqref="B13:G18">
    <cfRule type="cellIs" dxfId="144" priority="21" operator="between">
      <formula>0.1</formula>
      <formula>0.2</formula>
    </cfRule>
    <cfRule type="cellIs" dxfId="143" priority="22" operator="between">
      <formula>0.2</formula>
      <formula>0.4</formula>
    </cfRule>
    <cfRule type="cellIs" dxfId="142" priority="23" operator="between">
      <formula>0.4</formula>
      <formula>0.6</formula>
    </cfRule>
    <cfRule type="cellIs" dxfId="141" priority="24" operator="between">
      <formula>0.6</formula>
      <formula>0.8</formula>
    </cfRule>
    <cfRule type="cellIs" dxfId="140" priority="25" operator="between">
      <formula>0.8</formula>
      <formula>1</formula>
    </cfRule>
  </conditionalFormatting>
  <conditionalFormatting sqref="B23:G28">
    <cfRule type="cellIs" dxfId="139" priority="16" operator="between">
      <formula>0.1</formula>
      <formula>0.2</formula>
    </cfRule>
    <cfRule type="cellIs" dxfId="138" priority="17" operator="between">
      <formula>0.2</formula>
      <formula>0.4</formula>
    </cfRule>
    <cfRule type="cellIs" dxfId="137" priority="18" operator="between">
      <formula>0.4</formula>
      <formula>0.6</formula>
    </cfRule>
    <cfRule type="cellIs" dxfId="136" priority="19" operator="between">
      <formula>0.6</formula>
      <formula>0.8</formula>
    </cfRule>
    <cfRule type="cellIs" dxfId="135" priority="20" operator="between">
      <formula>0.8</formula>
      <formula>1</formula>
    </cfRule>
  </conditionalFormatting>
  <conditionalFormatting sqref="B33:G38">
    <cfRule type="cellIs" dxfId="134" priority="11" operator="between">
      <formula>0.1</formula>
      <formula>0.2</formula>
    </cfRule>
    <cfRule type="cellIs" dxfId="133" priority="12" operator="between">
      <formula>0.2</formula>
      <formula>0.4</formula>
    </cfRule>
    <cfRule type="cellIs" dxfId="132" priority="13" operator="between">
      <formula>0.4</formula>
      <formula>0.6</formula>
    </cfRule>
    <cfRule type="cellIs" dxfId="131" priority="14" operator="between">
      <formula>0.6</formula>
      <formula>0.8</formula>
    </cfRule>
    <cfRule type="cellIs" dxfId="130" priority="15" operator="between">
      <formula>0.8</formula>
      <formula>1</formula>
    </cfRule>
  </conditionalFormatting>
  <conditionalFormatting sqref="B43:G48">
    <cfRule type="cellIs" dxfId="129" priority="6" operator="between">
      <formula>0.1</formula>
      <formula>0.2</formula>
    </cfRule>
    <cfRule type="cellIs" dxfId="128" priority="7" operator="between">
      <formula>0.2</formula>
      <formula>0.4</formula>
    </cfRule>
    <cfRule type="cellIs" dxfId="127" priority="8" operator="between">
      <formula>0.4</formula>
      <formula>0.6</formula>
    </cfRule>
    <cfRule type="cellIs" dxfId="126" priority="9" operator="between">
      <formula>0.6</formula>
      <formula>0.8</formula>
    </cfRule>
    <cfRule type="cellIs" dxfId="125" priority="10" operator="between">
      <formula>0.8</formula>
      <formula>1</formula>
    </cfRule>
  </conditionalFormatting>
  <conditionalFormatting sqref="B53:G58">
    <cfRule type="cellIs" dxfId="124" priority="1" operator="between">
      <formula>0.1</formula>
      <formula>0.2</formula>
    </cfRule>
    <cfRule type="cellIs" dxfId="123" priority="2" operator="between">
      <formula>0.2</formula>
      <formula>0.4</formula>
    </cfRule>
    <cfRule type="cellIs" dxfId="122" priority="3" operator="between">
      <formula>0.4</formula>
      <formula>0.6</formula>
    </cfRule>
    <cfRule type="cellIs" dxfId="121" priority="4" operator="between">
      <formula>0.6</formula>
      <formula>0.8</formula>
    </cfRule>
    <cfRule type="cellIs" dxfId="120" priority="5" operator="between">
      <formula>0.8</formula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DEEF-EAAC-4A74-9DB7-7B976A8BD9EF}">
  <dimension ref="A1:L146"/>
  <sheetViews>
    <sheetView topLeftCell="A130" workbookViewId="0">
      <selection activeCell="L145" sqref="L145"/>
    </sheetView>
  </sheetViews>
  <sheetFormatPr defaultRowHeight="14.4" x14ac:dyDescent="0.3"/>
  <cols>
    <col min="1" max="1" width="18.21875" style="3" bestFit="1" customWidth="1"/>
    <col min="2" max="2" width="12.6640625" customWidth="1"/>
    <col min="3" max="3" width="13.109375" customWidth="1"/>
    <col min="4" max="4" width="13.77734375" customWidth="1"/>
    <col min="5" max="5" width="14.44140625" customWidth="1"/>
    <col min="6" max="6" width="16.88671875" customWidth="1"/>
    <col min="7" max="7" width="16" customWidth="1"/>
    <col min="8" max="9" width="11.88671875" customWidth="1"/>
    <col min="10" max="10" width="9.5546875" bestFit="1" customWidth="1"/>
    <col min="11" max="11" width="7.88671875" bestFit="1" customWidth="1"/>
    <col min="12" max="12" width="13.88671875" bestFit="1" customWidth="1"/>
  </cols>
  <sheetData>
    <row r="1" spans="1:12" s="5" customFormat="1" x14ac:dyDescent="0.3">
      <c r="A1" s="59" t="s">
        <v>11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s="3" customFormat="1" ht="28.8" x14ac:dyDescent="0.3">
      <c r="B2" s="3" t="s">
        <v>0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4" t="s">
        <v>20</v>
      </c>
      <c r="I2" s="4" t="s">
        <v>28</v>
      </c>
      <c r="J2" s="4" t="s">
        <v>21</v>
      </c>
      <c r="K2" s="4" t="s">
        <v>4</v>
      </c>
      <c r="L2" s="4" t="s">
        <v>29</v>
      </c>
    </row>
    <row r="3" spans="1:12" x14ac:dyDescent="0.3">
      <c r="A3" t="s">
        <v>22</v>
      </c>
      <c r="B3" s="1">
        <v>0</v>
      </c>
      <c r="C3" s="1">
        <v>0.67078719536463405</v>
      </c>
      <c r="D3" s="1">
        <v>0.44589402154087998</v>
      </c>
      <c r="E3" s="1">
        <v>0.11394745226910601</v>
      </c>
      <c r="F3" s="1">
        <v>9.9237722558124597E-4</v>
      </c>
      <c r="G3" s="8">
        <v>0</v>
      </c>
      <c r="H3" s="1">
        <f>AVERAGE(C3:G3)</f>
        <v>0.24632420928004026</v>
      </c>
      <c r="I3" s="1"/>
      <c r="J3" s="1">
        <f>MAX(C3-G3, D3-G3,E3-G3,F3-G3)</f>
        <v>0.67078719536463405</v>
      </c>
      <c r="K3" s="1"/>
    </row>
    <row r="4" spans="1:12" x14ac:dyDescent="0.3">
      <c r="A4" t="s">
        <v>23</v>
      </c>
      <c r="B4" s="1">
        <v>0</v>
      </c>
      <c r="C4" s="1">
        <v>0.142110523013495</v>
      </c>
      <c r="D4" s="1">
        <v>0.50989819690585103</v>
      </c>
      <c r="E4" s="1">
        <v>0.13732695595050801</v>
      </c>
      <c r="F4" s="1">
        <v>8.8033173354536598E-4</v>
      </c>
      <c r="G4" s="8">
        <v>0</v>
      </c>
      <c r="H4" s="1">
        <f>AVERAGE(C4:G4)</f>
        <v>0.15804320152067991</v>
      </c>
      <c r="I4" s="1"/>
      <c r="J4" s="1">
        <f t="shared" ref="J4:J6" si="0">MAX(C4-G4, D4-G4,E4-G4,F4-G4)</f>
        <v>0.50989819690585103</v>
      </c>
      <c r="K4" s="1">
        <f>C4</f>
        <v>0.142110523013495</v>
      </c>
    </row>
    <row r="5" spans="1:12" x14ac:dyDescent="0.3">
      <c r="A5" t="s">
        <v>24</v>
      </c>
      <c r="B5" s="1">
        <v>0.68414774164557401</v>
      </c>
      <c r="C5" s="1">
        <v>0.27363112273936402</v>
      </c>
      <c r="D5" s="1">
        <v>0.11962859161819001</v>
      </c>
      <c r="E5" s="1">
        <v>0.754613844056924</v>
      </c>
      <c r="F5" s="1">
        <v>5.1619471147811603E-3</v>
      </c>
      <c r="G5" s="8">
        <v>0</v>
      </c>
      <c r="H5" s="1">
        <f>AVERAGE(C5:G5)</f>
        <v>0.23060710110585184</v>
      </c>
      <c r="I5" s="1"/>
      <c r="J5" s="1">
        <f t="shared" si="0"/>
        <v>0.754613844056924</v>
      </c>
      <c r="K5" s="1">
        <f>AVERAGE(C5,D5)</f>
        <v>0.19662985717877701</v>
      </c>
    </row>
    <row r="6" spans="1:12" x14ac:dyDescent="0.3">
      <c r="A6" t="s">
        <v>25</v>
      </c>
      <c r="B6" s="1">
        <v>1.3734113525742901E-4</v>
      </c>
      <c r="C6" s="1">
        <v>1.9621939827629801E-4</v>
      </c>
      <c r="D6" s="1">
        <v>3.87945654438226E-4</v>
      </c>
      <c r="E6" s="1">
        <v>1.0526234267066001E-3</v>
      </c>
      <c r="F6" s="1">
        <v>0.98842728386322598</v>
      </c>
      <c r="G6" s="8">
        <v>0</v>
      </c>
      <c r="H6" s="1">
        <f>AVERAGE(C6:G6)</f>
        <v>0.19801281446852942</v>
      </c>
      <c r="I6" s="1"/>
      <c r="J6" s="1">
        <f t="shared" si="0"/>
        <v>0.98842728386322598</v>
      </c>
      <c r="K6" s="1">
        <f>AVERAGE(C6, D6, E6)</f>
        <v>5.4559615980704138E-4</v>
      </c>
    </row>
    <row r="7" spans="1:12" x14ac:dyDescent="0.3">
      <c r="A7" t="s">
        <v>26</v>
      </c>
      <c r="B7" s="1">
        <v>0</v>
      </c>
      <c r="C7" s="1">
        <v>9.6427440100039005E-3</v>
      </c>
      <c r="D7" s="1">
        <v>2.1100197212945201E-2</v>
      </c>
      <c r="E7" s="1">
        <v>6.00796337436501E-2</v>
      </c>
      <c r="F7" s="1">
        <v>1.0830362868243001E-3</v>
      </c>
      <c r="G7" s="8">
        <v>0</v>
      </c>
      <c r="H7" s="1">
        <f>AVERAGE(C7:G7)</f>
        <v>1.8381122250684702E-2</v>
      </c>
      <c r="I7" s="1"/>
      <c r="J7" s="1"/>
      <c r="K7" s="1">
        <f>AVERAGE(C7, D7, E7,F7)</f>
        <v>2.2976402813355876E-2</v>
      </c>
    </row>
    <row r="8" spans="1:12" x14ac:dyDescent="0.3">
      <c r="A8" t="s">
        <v>1</v>
      </c>
      <c r="B8" s="1">
        <v>0.97939257323741902</v>
      </c>
      <c r="C8" s="1">
        <v>0.19650906510651101</v>
      </c>
      <c r="D8" s="1">
        <v>3.4372036810964297E-2</v>
      </c>
      <c r="E8" s="1">
        <v>0.63016386330127705</v>
      </c>
      <c r="F8" s="1">
        <v>0.22365523129701601</v>
      </c>
      <c r="G8" s="8">
        <v>0</v>
      </c>
      <c r="L8" s="2">
        <f>(B8-G8)/B8</f>
        <v>1</v>
      </c>
    </row>
    <row r="9" spans="1:12" s="5" customFormat="1" x14ac:dyDescent="0.3">
      <c r="A9" s="4" t="s">
        <v>5</v>
      </c>
      <c r="B9" s="2"/>
      <c r="C9" s="2"/>
      <c r="D9" s="2"/>
      <c r="E9" s="2"/>
      <c r="F9" s="2"/>
      <c r="G9" s="2"/>
      <c r="H9" s="2">
        <f>AVERAGE(H3:H7)</f>
        <v>0.17027368972515719</v>
      </c>
      <c r="I9" s="2">
        <f>AVERAGE(G3:G7)</f>
        <v>0</v>
      </c>
      <c r="J9" s="2">
        <f>AVERAGE(J3:J6)</f>
        <v>0.73093163004765871</v>
      </c>
      <c r="K9" s="2">
        <f>AVERAGE(K3:K8)</f>
        <v>9.0565594791358742E-2</v>
      </c>
    </row>
    <row r="11" spans="1:12" s="5" customFormat="1" x14ac:dyDescent="0.3">
      <c r="A11" s="59" t="s">
        <v>12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</row>
    <row r="12" spans="1:12" s="3" customFormat="1" ht="28.8" x14ac:dyDescent="0.3">
      <c r="B12" s="3" t="s">
        <v>0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4" t="s">
        <v>20</v>
      </c>
      <c r="I12" s="4" t="s">
        <v>28</v>
      </c>
      <c r="J12" s="4" t="s">
        <v>21</v>
      </c>
      <c r="K12" s="4" t="s">
        <v>4</v>
      </c>
      <c r="L12" s="4" t="s">
        <v>29</v>
      </c>
    </row>
    <row r="13" spans="1:12" x14ac:dyDescent="0.3">
      <c r="A13" t="s">
        <v>22</v>
      </c>
      <c r="B13" s="1">
        <v>0</v>
      </c>
      <c r="C13" s="1">
        <v>0.65423886850476198</v>
      </c>
      <c r="D13" s="1">
        <v>0.436704129601518</v>
      </c>
      <c r="E13" s="1">
        <v>0.127564350841566</v>
      </c>
      <c r="F13" s="1">
        <v>1.32272624614415E-3</v>
      </c>
      <c r="G13" s="8">
        <v>0</v>
      </c>
      <c r="H13" s="1">
        <f>AVERAGE(C13:G13)</f>
        <v>0.24396601503879803</v>
      </c>
      <c r="I13" s="1"/>
      <c r="J13" s="1">
        <f>MAX(C13-G13, D13-G13,E13-G13,F13-G13)</f>
        <v>0.65423886850476198</v>
      </c>
      <c r="K13" s="1"/>
    </row>
    <row r="14" spans="1:12" x14ac:dyDescent="0.3">
      <c r="A14" t="s">
        <v>23</v>
      </c>
      <c r="B14" s="1">
        <v>0</v>
      </c>
      <c r="C14" s="1">
        <v>0.16347878760037299</v>
      </c>
      <c r="D14" s="1">
        <v>0.51077511782447405</v>
      </c>
      <c r="E14" s="1">
        <v>0.140042653462539</v>
      </c>
      <c r="F14" s="1">
        <v>1.15380477412448E-3</v>
      </c>
      <c r="G14" s="8">
        <v>0</v>
      </c>
      <c r="H14" s="1">
        <f>AVERAGE(C14:G14)</f>
        <v>0.16309007273230211</v>
      </c>
      <c r="I14" s="1"/>
      <c r="J14" s="1">
        <f t="shared" ref="J14:J16" si="1">MAX(C14-G14, D14-G14,E14-G14,F14-G14)</f>
        <v>0.51077511782447405</v>
      </c>
      <c r="K14" s="1">
        <f>C14</f>
        <v>0.16347878760037299</v>
      </c>
    </row>
    <row r="15" spans="1:12" x14ac:dyDescent="0.3">
      <c r="A15" t="s">
        <v>24</v>
      </c>
      <c r="B15" s="1">
        <v>0.68415092180172599</v>
      </c>
      <c r="C15" s="1">
        <v>0.44755189990003902</v>
      </c>
      <c r="D15" s="1">
        <v>0.17832793202251099</v>
      </c>
      <c r="E15" s="1">
        <v>0.77071961512168197</v>
      </c>
      <c r="F15" s="1">
        <v>6.1808589574259996E-3</v>
      </c>
      <c r="G15" s="8">
        <v>0</v>
      </c>
      <c r="H15" s="1">
        <f>AVERAGE(C15:G15)</f>
        <v>0.28055606120033161</v>
      </c>
      <c r="I15" s="1"/>
      <c r="J15" s="1">
        <f t="shared" si="1"/>
        <v>0.77071961512168197</v>
      </c>
      <c r="K15" s="1">
        <f>AVERAGE(C15,D15)</f>
        <v>0.31293991596127502</v>
      </c>
    </row>
    <row r="16" spans="1:12" x14ac:dyDescent="0.3">
      <c r="A16" t="s">
        <v>25</v>
      </c>
      <c r="B16" s="1">
        <v>1.3723343806759601E-4</v>
      </c>
      <c r="C16" s="1">
        <v>3.0388202109558399E-4</v>
      </c>
      <c r="D16" s="1">
        <v>3.4182929994130902E-4</v>
      </c>
      <c r="E16" s="1">
        <v>8.0251672018979005E-4</v>
      </c>
      <c r="F16" s="1">
        <v>0.97509421656529105</v>
      </c>
      <c r="G16" s="8">
        <v>0</v>
      </c>
      <c r="H16" s="1">
        <f>AVERAGE(C16:G16)</f>
        <v>0.19530848892130354</v>
      </c>
      <c r="I16" s="1"/>
      <c r="J16" s="1">
        <f t="shared" si="1"/>
        <v>0.97509421656529105</v>
      </c>
      <c r="K16" s="1">
        <f>AVERAGE(C16, D16, E16)</f>
        <v>4.8274268040889435E-4</v>
      </c>
    </row>
    <row r="17" spans="1:12" x14ac:dyDescent="0.3">
      <c r="A17" t="s">
        <v>26</v>
      </c>
      <c r="B17" s="1">
        <v>0</v>
      </c>
      <c r="C17" s="1">
        <v>2.0674242819344098E-2</v>
      </c>
      <c r="D17" s="1">
        <v>3.7592797210284801E-2</v>
      </c>
      <c r="E17" s="1">
        <v>7.5414414533042803E-2</v>
      </c>
      <c r="F17" s="1">
        <v>1.2665933657748001E-3</v>
      </c>
      <c r="G17" s="8">
        <v>0</v>
      </c>
      <c r="H17" s="1">
        <f>AVERAGE(C17:G17)</f>
        <v>2.6989609585689307E-2</v>
      </c>
      <c r="I17" s="1"/>
      <c r="J17" s="1"/>
      <c r="K17" s="1">
        <f>AVERAGE(C17, D17, E17,F17)</f>
        <v>3.3737011982111632E-2</v>
      </c>
    </row>
    <row r="18" spans="1:12" x14ac:dyDescent="0.3">
      <c r="A18" t="s">
        <v>1</v>
      </c>
      <c r="B18" s="1">
        <v>0.97939328849315599</v>
      </c>
      <c r="C18" s="1">
        <v>0.71222369372844696</v>
      </c>
      <c r="D18" s="1">
        <v>0.25734367594122798</v>
      </c>
      <c r="E18" s="1">
        <v>0.86813125014305104</v>
      </c>
      <c r="F18" s="1">
        <v>0.23841088265180499</v>
      </c>
      <c r="G18" s="8">
        <v>0</v>
      </c>
      <c r="L18" s="2">
        <f>(B18-G18)/B18</f>
        <v>1</v>
      </c>
    </row>
    <row r="19" spans="1:12" s="5" customFormat="1" x14ac:dyDescent="0.3">
      <c r="A19" s="4" t="s">
        <v>5</v>
      </c>
      <c r="B19" s="2"/>
      <c r="C19" s="2"/>
      <c r="D19" s="2"/>
      <c r="E19" s="2"/>
      <c r="F19" s="2"/>
      <c r="G19" s="2"/>
      <c r="H19" s="2">
        <f>AVERAGE(H13:H17)</f>
        <v>0.18198204949568492</v>
      </c>
      <c r="I19" s="2">
        <f>AVERAGE(G13:G17)</f>
        <v>0</v>
      </c>
      <c r="J19" s="2">
        <f>AVERAGE(J13:J16)</f>
        <v>0.72770695450405232</v>
      </c>
      <c r="K19" s="2">
        <f>AVERAGE(K13:K18)</f>
        <v>0.12765961455604213</v>
      </c>
    </row>
    <row r="20" spans="1:12" x14ac:dyDescent="0.3">
      <c r="A20"/>
    </row>
    <row r="21" spans="1:12" s="5" customFormat="1" x14ac:dyDescent="0.3">
      <c r="A21" s="59" t="s">
        <v>13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s="3" customFormat="1" ht="28.8" x14ac:dyDescent="0.3">
      <c r="B22" s="3" t="s">
        <v>0</v>
      </c>
      <c r="C22" s="3" t="s">
        <v>22</v>
      </c>
      <c r="D22" s="3" t="s">
        <v>23</v>
      </c>
      <c r="E22" s="3" t="s">
        <v>24</v>
      </c>
      <c r="F22" s="3" t="s">
        <v>25</v>
      </c>
      <c r="G22" s="3" t="s">
        <v>26</v>
      </c>
      <c r="H22" s="4" t="s">
        <v>20</v>
      </c>
      <c r="I22" s="4" t="s">
        <v>28</v>
      </c>
      <c r="J22" s="4" t="s">
        <v>21</v>
      </c>
      <c r="K22" s="4" t="s">
        <v>4</v>
      </c>
      <c r="L22" s="4" t="s">
        <v>29</v>
      </c>
    </row>
    <row r="23" spans="1:12" x14ac:dyDescent="0.3">
      <c r="A23" t="s">
        <v>22</v>
      </c>
      <c r="B23" s="1">
        <v>0</v>
      </c>
      <c r="C23" s="1">
        <v>0.54526295140385606</v>
      </c>
      <c r="D23" s="1">
        <v>0.31428459224601502</v>
      </c>
      <c r="E23" s="1">
        <v>0.104010903208594</v>
      </c>
      <c r="F23" s="1">
        <v>1.3722612250906699E-3</v>
      </c>
      <c r="G23" s="8">
        <v>0</v>
      </c>
      <c r="H23" s="1">
        <f>AVERAGE(C23:G23)</f>
        <v>0.19298614161671115</v>
      </c>
      <c r="I23" s="1"/>
      <c r="J23" s="1">
        <f>MAX(C23-G23, D23-G23,E23-G23,F23-G23)</f>
        <v>0.54526295140385606</v>
      </c>
      <c r="K23" s="1"/>
    </row>
    <row r="24" spans="1:12" x14ac:dyDescent="0.3">
      <c r="A24" t="s">
        <v>23</v>
      </c>
      <c r="B24" s="1">
        <v>0</v>
      </c>
      <c r="C24" s="1">
        <v>0.25431976566323999</v>
      </c>
      <c r="D24" s="1">
        <v>0.54372851674755396</v>
      </c>
      <c r="E24" s="1">
        <v>0.15050338394939899</v>
      </c>
      <c r="F24" s="1">
        <v>1.20973646456453E-3</v>
      </c>
      <c r="G24" s="8">
        <v>0</v>
      </c>
      <c r="H24" s="1">
        <f>AVERAGE(C24:G24)</f>
        <v>0.1899522805649515</v>
      </c>
      <c r="I24" s="1"/>
      <c r="J24" s="1">
        <f t="shared" ref="J24:J26" si="2">MAX(C24-G24, D24-G24,E24-G24,F24-G24)</f>
        <v>0.54372851674755396</v>
      </c>
      <c r="K24" s="1">
        <f>C24</f>
        <v>0.25431976566323999</v>
      </c>
    </row>
    <row r="25" spans="1:12" x14ac:dyDescent="0.3">
      <c r="A25" t="s">
        <v>24</v>
      </c>
      <c r="B25" s="1">
        <v>0.68415092180172599</v>
      </c>
      <c r="C25" s="1">
        <v>0.59579487269123399</v>
      </c>
      <c r="D25" s="1">
        <v>0.24664531306674001</v>
      </c>
      <c r="E25" s="1">
        <v>0.73978194594383195</v>
      </c>
      <c r="F25" s="1">
        <v>6.1700749308026001E-3</v>
      </c>
      <c r="G25" s="8">
        <v>0</v>
      </c>
      <c r="H25" s="1">
        <f>AVERAGE(C25:G25)</f>
        <v>0.31767844132652173</v>
      </c>
      <c r="I25" s="1"/>
      <c r="J25" s="1">
        <f t="shared" si="2"/>
        <v>0.73978194594383195</v>
      </c>
      <c r="K25" s="1">
        <f>AVERAGE(C25,D25)</f>
        <v>0.42122009287898698</v>
      </c>
    </row>
    <row r="26" spans="1:12" x14ac:dyDescent="0.3">
      <c r="A26" t="s">
        <v>25</v>
      </c>
      <c r="B26" s="1">
        <v>1.3723343806759601E-4</v>
      </c>
      <c r="C26" s="1">
        <v>4.1706922244581302E-4</v>
      </c>
      <c r="D26" s="1">
        <v>3.2904907826984198E-4</v>
      </c>
      <c r="E26" s="1">
        <v>8.7223905211430898E-4</v>
      </c>
      <c r="F26" s="1">
        <v>0.978223810593287</v>
      </c>
      <c r="G26" s="8">
        <v>0</v>
      </c>
      <c r="H26" s="1">
        <f>AVERAGE(C26:G26)</f>
        <v>0.19596843358922339</v>
      </c>
      <c r="I26" s="1"/>
      <c r="J26" s="1">
        <f t="shared" si="2"/>
        <v>0.978223810593287</v>
      </c>
      <c r="K26" s="1">
        <f>AVERAGE(C26, D26, E26)</f>
        <v>5.3945245094332136E-4</v>
      </c>
    </row>
    <row r="27" spans="1:12" x14ac:dyDescent="0.3">
      <c r="A27" t="s">
        <v>26</v>
      </c>
      <c r="B27" s="1">
        <v>0</v>
      </c>
      <c r="C27" s="1">
        <v>3.1816299297436901E-2</v>
      </c>
      <c r="D27" s="1">
        <v>3.0279045697473798E-2</v>
      </c>
      <c r="E27" s="1">
        <v>8.5953370343001198E-2</v>
      </c>
      <c r="F27" s="1">
        <v>1.2814372530556199E-3</v>
      </c>
      <c r="G27" s="8">
        <v>0</v>
      </c>
      <c r="H27" s="1">
        <f>AVERAGE(C27:G27)</f>
        <v>2.9866030518193504E-2</v>
      </c>
      <c r="I27" s="1"/>
      <c r="J27" s="1"/>
      <c r="K27" s="1">
        <f>AVERAGE(C27, D27, E27,F27)</f>
        <v>3.733253814774188E-2</v>
      </c>
    </row>
    <row r="28" spans="1:12" x14ac:dyDescent="0.3">
      <c r="A28" t="s">
        <v>1</v>
      </c>
      <c r="B28" s="1">
        <v>0.97939328849315599</v>
      </c>
      <c r="C28" s="1">
        <v>0.95172284543514196</v>
      </c>
      <c r="D28" s="1">
        <v>0.57216364145278897</v>
      </c>
      <c r="E28" s="1">
        <v>0.92798471450805597</v>
      </c>
      <c r="F28" s="1">
        <v>0.220727413892745</v>
      </c>
      <c r="G28" s="8">
        <v>0</v>
      </c>
      <c r="L28" s="2">
        <f>(B28-G28)/B28</f>
        <v>1</v>
      </c>
    </row>
    <row r="29" spans="1:12" s="5" customFormat="1" x14ac:dyDescent="0.3">
      <c r="A29" s="4" t="s">
        <v>5</v>
      </c>
      <c r="B29" s="2"/>
      <c r="C29" s="2"/>
      <c r="D29" s="2"/>
      <c r="E29" s="2"/>
      <c r="F29" s="2"/>
      <c r="G29" s="2"/>
      <c r="H29" s="2">
        <f>AVERAGE(H23:H27)</f>
        <v>0.18529026552312025</v>
      </c>
      <c r="I29" s="2">
        <f>AVERAGE(G23:G27)</f>
        <v>0</v>
      </c>
      <c r="J29" s="2">
        <f>AVERAGE(J23:J26)</f>
        <v>0.70174930617213227</v>
      </c>
      <c r="K29" s="2">
        <f>AVERAGE(K23:K28)</f>
        <v>0.17835296228522804</v>
      </c>
    </row>
    <row r="31" spans="1:12" s="5" customFormat="1" x14ac:dyDescent="0.3">
      <c r="A31" s="59" t="s">
        <v>14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</row>
    <row r="32" spans="1:12" s="3" customFormat="1" ht="28.8" x14ac:dyDescent="0.3">
      <c r="B32" s="3" t="s">
        <v>0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26</v>
      </c>
      <c r="H32" s="4" t="s">
        <v>20</v>
      </c>
      <c r="I32" s="4" t="s">
        <v>28</v>
      </c>
      <c r="J32" s="4" t="s">
        <v>21</v>
      </c>
      <c r="K32" s="4" t="s">
        <v>4</v>
      </c>
      <c r="L32" s="4" t="s">
        <v>29</v>
      </c>
    </row>
    <row r="33" spans="1:12" x14ac:dyDescent="0.3">
      <c r="A33" t="s">
        <v>22</v>
      </c>
      <c r="B33" s="1">
        <v>0</v>
      </c>
      <c r="C33" s="1">
        <v>0.42561167292296798</v>
      </c>
      <c r="D33" s="1">
        <v>0.29584354627877402</v>
      </c>
      <c r="E33" s="1">
        <v>0.107696353816815</v>
      </c>
      <c r="F33" s="1">
        <v>1.3503193331416601E-3</v>
      </c>
      <c r="G33" s="8">
        <v>0</v>
      </c>
      <c r="H33" s="1">
        <f>AVERAGE(C33:G33)</f>
        <v>0.16610037847033973</v>
      </c>
      <c r="I33" s="1"/>
      <c r="J33" s="1">
        <f>MAX(C33-G33, D33-G33,E33-G33,F33-G33)</f>
        <v>0.42561167292296798</v>
      </c>
      <c r="K33" s="1"/>
    </row>
    <row r="34" spans="1:12" x14ac:dyDescent="0.3">
      <c r="A34" t="s">
        <v>23</v>
      </c>
      <c r="B34" s="1">
        <v>0</v>
      </c>
      <c r="C34" s="1">
        <v>0.24004440770173999</v>
      </c>
      <c r="D34" s="1">
        <v>0.53700353701909298</v>
      </c>
      <c r="E34" s="1">
        <v>0.17464801855385301</v>
      </c>
      <c r="F34" s="1">
        <v>1.1901485583318001E-3</v>
      </c>
      <c r="G34" s="8">
        <v>0</v>
      </c>
      <c r="H34" s="1">
        <f>AVERAGE(C34:G34)</f>
        <v>0.19057722236660354</v>
      </c>
      <c r="I34" s="1"/>
      <c r="J34" s="1">
        <f t="shared" ref="J34:J36" si="3">MAX(C34-G34, D34-G34,E34-G34,F34-G34)</f>
        <v>0.53700353701909298</v>
      </c>
      <c r="K34" s="1">
        <f>C34</f>
        <v>0.24004440770173999</v>
      </c>
    </row>
    <row r="35" spans="1:12" x14ac:dyDescent="0.3">
      <c r="A35" t="s">
        <v>24</v>
      </c>
      <c r="B35" s="1">
        <v>0.68415092180172599</v>
      </c>
      <c r="C35" s="1">
        <v>0.63786948348085004</v>
      </c>
      <c r="D35" s="1">
        <v>0.410460494458675</v>
      </c>
      <c r="E35" s="1">
        <v>0.73363971213499701</v>
      </c>
      <c r="F35" s="1">
        <v>6.0920922357278499E-3</v>
      </c>
      <c r="G35" s="8">
        <v>0</v>
      </c>
      <c r="H35" s="1">
        <f>AVERAGE(C35:G35)</f>
        <v>0.35761235646205003</v>
      </c>
      <c r="I35" s="1"/>
      <c r="J35" s="1">
        <f t="shared" si="3"/>
        <v>0.73363971213499701</v>
      </c>
      <c r="K35" s="1">
        <f>AVERAGE(C35,D35)</f>
        <v>0.52416498896976249</v>
      </c>
    </row>
    <row r="36" spans="1:12" x14ac:dyDescent="0.3">
      <c r="A36" t="s">
        <v>25</v>
      </c>
      <c r="B36" s="1">
        <v>1.3723343806759601E-4</v>
      </c>
      <c r="C36" s="1">
        <v>6.3916616242446801E-4</v>
      </c>
      <c r="D36" s="1">
        <v>3.6735962597352501E-4</v>
      </c>
      <c r="E36" s="1">
        <v>7.1475869117421098E-4</v>
      </c>
      <c r="F36" s="1">
        <v>0.98424222071965495</v>
      </c>
      <c r="G36" s="8">
        <v>0</v>
      </c>
      <c r="H36" s="1">
        <f>AVERAGE(C36:G36)</f>
        <v>0.19719270103984543</v>
      </c>
      <c r="I36" s="1"/>
      <c r="J36" s="1">
        <f t="shared" si="3"/>
        <v>0.98424222071965495</v>
      </c>
      <c r="K36" s="1">
        <f>AVERAGE(C36, D36, E36)</f>
        <v>5.7376149319073467E-4</v>
      </c>
    </row>
    <row r="37" spans="1:12" x14ac:dyDescent="0.3">
      <c r="A37" t="s">
        <v>26</v>
      </c>
      <c r="B37" s="1">
        <v>0</v>
      </c>
      <c r="C37" s="1">
        <v>4.0694679715670597E-2</v>
      </c>
      <c r="D37" s="1">
        <v>4.3094697288021601E-2</v>
      </c>
      <c r="E37" s="1">
        <v>8.1782513307795499E-2</v>
      </c>
      <c r="F37" s="1">
        <v>1.26278474878442E-3</v>
      </c>
      <c r="G37" s="8">
        <v>0</v>
      </c>
      <c r="H37" s="1">
        <f>AVERAGE(C37:G37)</f>
        <v>3.336693501205442E-2</v>
      </c>
      <c r="I37" s="1"/>
      <c r="J37" s="1"/>
      <c r="K37" s="1">
        <f>AVERAGE(C37, D37, E37,F37)</f>
        <v>4.1708668765068027E-2</v>
      </c>
    </row>
    <row r="38" spans="1:12" x14ac:dyDescent="0.3">
      <c r="A38" t="s">
        <v>1</v>
      </c>
      <c r="B38" s="1">
        <v>0.97939328849315599</v>
      </c>
      <c r="C38" s="1">
        <v>0.97435873746871904</v>
      </c>
      <c r="D38" s="1">
        <v>0.88070693612098605</v>
      </c>
      <c r="E38" s="1">
        <v>0.956597760319709</v>
      </c>
      <c r="F38" s="1">
        <v>0.21931814029812799</v>
      </c>
      <c r="G38" s="8">
        <v>0</v>
      </c>
      <c r="L38" s="2">
        <f>(B38-G38)/B38</f>
        <v>1</v>
      </c>
    </row>
    <row r="39" spans="1:12" s="5" customFormat="1" x14ac:dyDescent="0.3">
      <c r="A39" s="4" t="s">
        <v>5</v>
      </c>
      <c r="B39" s="2"/>
      <c r="C39" s="2"/>
      <c r="D39" s="2"/>
      <c r="E39" s="2"/>
      <c r="F39" s="2"/>
      <c r="G39" s="2"/>
      <c r="H39" s="2">
        <f>AVERAGE(H33:H37)</f>
        <v>0.18896991867017865</v>
      </c>
      <c r="I39" s="2">
        <f>AVERAGE(G33:G37)</f>
        <v>0</v>
      </c>
      <c r="J39" s="2">
        <f>AVERAGE(J33:J36)</f>
        <v>0.67012428569917826</v>
      </c>
      <c r="K39" s="2">
        <f>AVERAGE(K33:K38)</f>
        <v>0.20162295673244032</v>
      </c>
    </row>
    <row r="41" spans="1:12" x14ac:dyDescent="0.3">
      <c r="A41" s="60" t="s">
        <v>53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</row>
    <row r="42" spans="1:12" s="3" customFormat="1" ht="28.8" x14ac:dyDescent="0.3">
      <c r="B42" s="3" t="s">
        <v>0</v>
      </c>
      <c r="C42" s="3" t="s">
        <v>26</v>
      </c>
      <c r="D42" s="3" t="s">
        <v>25</v>
      </c>
      <c r="E42" s="3" t="s">
        <v>24</v>
      </c>
      <c r="F42" s="3" t="s">
        <v>23</v>
      </c>
      <c r="G42" s="3" t="s">
        <v>22</v>
      </c>
      <c r="H42" s="4" t="s">
        <v>20</v>
      </c>
      <c r="I42" s="4" t="s">
        <v>28</v>
      </c>
      <c r="J42" s="4" t="s">
        <v>21</v>
      </c>
      <c r="K42" s="4" t="s">
        <v>4</v>
      </c>
      <c r="L42" s="4" t="s">
        <v>29</v>
      </c>
    </row>
    <row r="43" spans="1:12" x14ac:dyDescent="0.3">
      <c r="A43" t="s">
        <v>27</v>
      </c>
      <c r="B43" s="1">
        <v>0</v>
      </c>
      <c r="C43" s="1">
        <v>0.47818195819854697</v>
      </c>
      <c r="D43" s="1">
        <v>1.32234652361754E-3</v>
      </c>
      <c r="E43" s="1">
        <v>2.6468184387340402E-2</v>
      </c>
      <c r="F43" s="1">
        <v>5.1066670281518997E-2</v>
      </c>
      <c r="G43" s="1">
        <v>8.4067207491898402E-2</v>
      </c>
      <c r="H43" s="1">
        <f>AVERAGE(C43:G43)</f>
        <v>0.12822127337658445</v>
      </c>
      <c r="I43" s="1"/>
      <c r="J43" s="1">
        <f>MAX(C43-G43, D43-G43,E43-G43,F43-G43)</f>
        <v>0.39411475070664859</v>
      </c>
      <c r="K43" s="1"/>
    </row>
    <row r="44" spans="1:12" x14ac:dyDescent="0.3">
      <c r="A44" t="s">
        <v>25</v>
      </c>
      <c r="B44" s="1">
        <v>1.3723343806759601E-4</v>
      </c>
      <c r="C44" s="1">
        <v>3.4835416590794899E-4</v>
      </c>
      <c r="D44" s="1">
        <v>0.96110236644744795</v>
      </c>
      <c r="E44" s="1">
        <v>9.9461300002682607E-4</v>
      </c>
      <c r="F44" s="1">
        <v>1.39372017656569E-3</v>
      </c>
      <c r="G44" s="1">
        <v>9.3351099349092605E-4</v>
      </c>
      <c r="H44" s="1">
        <f>AVERAGE(C44:G44)</f>
        <v>0.19295451295668786</v>
      </c>
      <c r="I44" s="1"/>
      <c r="J44" s="1">
        <f t="shared" ref="J44:J46" si="4">MAX(C44-G44, D44-G44,E44-G44,F44-G44)</f>
        <v>0.96016885545395703</v>
      </c>
      <c r="K44" s="1">
        <f>C44</f>
        <v>3.4835416590794899E-4</v>
      </c>
    </row>
    <row r="45" spans="1:12" x14ac:dyDescent="0.3">
      <c r="A45" t="s">
        <v>24</v>
      </c>
      <c r="B45" s="1">
        <v>0.68415092180172599</v>
      </c>
      <c r="C45" s="1">
        <v>0.67335100720326102</v>
      </c>
      <c r="D45" s="1">
        <v>6.39543361224544E-3</v>
      </c>
      <c r="E45" s="1">
        <v>6.9790176503981102E-2</v>
      </c>
      <c r="F45" s="1">
        <v>0.17109605949372</v>
      </c>
      <c r="G45" s="1">
        <v>4.20030605746433E-2</v>
      </c>
      <c r="H45" s="1">
        <f>AVERAGE(C45:G45)</f>
        <v>0.19252714747757019</v>
      </c>
      <c r="I45" s="1"/>
      <c r="J45" s="1">
        <f t="shared" si="4"/>
        <v>0.63134794662861771</v>
      </c>
      <c r="K45" s="1">
        <f>AVERAGE(C45,D45)</f>
        <v>0.33987322040775325</v>
      </c>
    </row>
    <row r="46" spans="1:12" x14ac:dyDescent="0.3">
      <c r="A46" t="s">
        <v>23</v>
      </c>
      <c r="B46" s="1">
        <v>0</v>
      </c>
      <c r="C46" s="1">
        <v>0.13755151184644299</v>
      </c>
      <c r="D46" s="1">
        <v>1.24625575214546E-3</v>
      </c>
      <c r="E46" s="1">
        <v>1.6208145750624601E-2</v>
      </c>
      <c r="F46" s="1">
        <v>0.125952251798783</v>
      </c>
      <c r="G46" s="8">
        <v>0.35314986792703401</v>
      </c>
      <c r="H46" s="1">
        <f>AVERAGE(C46:G46)</f>
        <v>0.12682160661500602</v>
      </c>
      <c r="I46" s="1"/>
      <c r="J46" s="1">
        <f t="shared" si="4"/>
        <v>-0.21559835608059102</v>
      </c>
      <c r="K46" s="1">
        <f>AVERAGE(C46, D46, E46)</f>
        <v>5.1668637783071014E-2</v>
      </c>
    </row>
    <row r="47" spans="1:12" x14ac:dyDescent="0.3">
      <c r="A47" t="s">
        <v>22</v>
      </c>
      <c r="B47" s="1">
        <v>0</v>
      </c>
      <c r="C47" s="1">
        <v>6.4642309055973996E-3</v>
      </c>
      <c r="D47" s="1">
        <v>1.4110630630360199E-3</v>
      </c>
      <c r="E47" s="1">
        <v>2.4715078269158101E-3</v>
      </c>
      <c r="F47" s="1">
        <v>5.0975215999642297E-2</v>
      </c>
      <c r="G47" s="8">
        <v>0.41083872504532298</v>
      </c>
      <c r="H47" s="1">
        <f>AVERAGE(C47:G47)</f>
        <v>9.4432148568102905E-2</v>
      </c>
      <c r="I47" s="1"/>
      <c r="J47" s="1"/>
      <c r="K47" s="1">
        <f>AVERAGE(C47, D47, E47,F47)</f>
        <v>1.5330504448797883E-2</v>
      </c>
    </row>
    <row r="48" spans="1:12" x14ac:dyDescent="0.3">
      <c r="A48" t="s">
        <v>1</v>
      </c>
      <c r="B48" s="1">
        <v>0.97939328849315599</v>
      </c>
      <c r="C48" s="1">
        <v>0.97737509012222201</v>
      </c>
      <c r="D48" s="1">
        <v>0.224132150411605</v>
      </c>
      <c r="E48" s="1">
        <v>3.9138257079684898E-8</v>
      </c>
      <c r="F48" s="1">
        <v>1.2126530464229199E-6</v>
      </c>
      <c r="G48" s="1">
        <v>7.0518013615128396E-6</v>
      </c>
      <c r="L48" s="2">
        <f>(B48-G48)/B48</f>
        <v>0.99999279982674538</v>
      </c>
    </row>
    <row r="49" spans="1:12" x14ac:dyDescent="0.3">
      <c r="A49" s="4" t="s">
        <v>5</v>
      </c>
      <c r="B49" s="2"/>
      <c r="C49" s="2"/>
      <c r="D49" s="2"/>
      <c r="E49" s="2"/>
      <c r="F49" s="2"/>
      <c r="G49" s="2"/>
      <c r="H49" s="2">
        <f>AVERAGE(H43:H47)</f>
        <v>0.14699133779879031</v>
      </c>
      <c r="I49" s="2">
        <f>AVERAGE(G43:G47)</f>
        <v>0.1781984744064779</v>
      </c>
      <c r="J49" s="2">
        <f>AVERAGE(J43:J46)</f>
        <v>0.44250829917715812</v>
      </c>
      <c r="K49" s="2">
        <f>AVERAGE(K43:K48)</f>
        <v>0.10180517920138252</v>
      </c>
      <c r="L49" s="5"/>
    </row>
    <row r="51" spans="1:12" x14ac:dyDescent="0.3">
      <c r="A51" s="59" t="s">
        <v>54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</row>
    <row r="52" spans="1:12" ht="43.2" x14ac:dyDescent="0.3">
      <c r="B52" s="3" t="s">
        <v>0</v>
      </c>
      <c r="C52" s="3" t="s">
        <v>25</v>
      </c>
      <c r="D52" s="3" t="s">
        <v>26</v>
      </c>
      <c r="E52" s="4" t="s">
        <v>20</v>
      </c>
      <c r="F52" s="4" t="s">
        <v>28</v>
      </c>
      <c r="G52" s="4" t="s">
        <v>21</v>
      </c>
      <c r="H52" s="4" t="s">
        <v>4</v>
      </c>
      <c r="I52" s="4" t="s">
        <v>29</v>
      </c>
    </row>
    <row r="53" spans="1:12" x14ac:dyDescent="0.3">
      <c r="A53" s="3" t="s">
        <v>25</v>
      </c>
      <c r="B53" s="1">
        <v>1.3723343806759601E-4</v>
      </c>
      <c r="C53" s="1">
        <v>0.98075480014085703</v>
      </c>
      <c r="D53" s="1">
        <v>4.05466019722429E-7</v>
      </c>
      <c r="E53" s="1">
        <f>AVERAGE(C53:D53)</f>
        <v>0.49037760280343839</v>
      </c>
      <c r="F53" s="1"/>
      <c r="G53" s="1">
        <f>MAX(C53-D53)</f>
        <v>0.98075439467483727</v>
      </c>
      <c r="H53" s="1"/>
    </row>
    <row r="54" spans="1:12" x14ac:dyDescent="0.3">
      <c r="A54" s="3" t="s">
        <v>26</v>
      </c>
      <c r="B54" s="1">
        <v>0</v>
      </c>
      <c r="C54" s="1">
        <v>1.2763377308147E-3</v>
      </c>
      <c r="D54" s="1">
        <v>3.3685003775948001E-6</v>
      </c>
      <c r="E54" s="1">
        <f>AVERAGE(C54:D54)</f>
        <v>6.3985311559614736E-4</v>
      </c>
      <c r="F54" s="1"/>
      <c r="G54" s="1"/>
      <c r="H54" s="1">
        <f>C54</f>
        <v>1.2763377308147E-3</v>
      </c>
    </row>
    <row r="55" spans="1:12" x14ac:dyDescent="0.3">
      <c r="A55" t="s">
        <v>1</v>
      </c>
      <c r="B55" s="1">
        <v>0.97939328849315599</v>
      </c>
      <c r="C55" s="1">
        <v>0.223294638097286</v>
      </c>
      <c r="D55" s="1">
        <v>0</v>
      </c>
      <c r="E55" s="1">
        <f>AVERAGE(C55:D55)</f>
        <v>0.111647319048643</v>
      </c>
      <c r="F55" s="1"/>
      <c r="G55" s="1"/>
      <c r="H55" s="1"/>
      <c r="I55" s="2">
        <f>(B55-D55)/B55</f>
        <v>1</v>
      </c>
    </row>
    <row r="56" spans="1:12" x14ac:dyDescent="0.3">
      <c r="A56" s="4" t="s">
        <v>5</v>
      </c>
      <c r="B56" s="2"/>
      <c r="C56" s="2"/>
      <c r="D56" s="2"/>
      <c r="E56" s="2">
        <f>AVERAGE(E53:E55)</f>
        <v>0.20088825832255919</v>
      </c>
      <c r="F56" s="2">
        <f>AVERAGE(D53:D54)</f>
        <v>1.8869831986586146E-6</v>
      </c>
      <c r="G56" s="2">
        <f>AVERAGE(G53:G55)</f>
        <v>0.98075439467483727</v>
      </c>
      <c r="H56" s="2">
        <f>AVERAGE(H53:H55)</f>
        <v>1.2763377308147E-3</v>
      </c>
      <c r="L56" s="5"/>
    </row>
    <row r="58" spans="1:12" x14ac:dyDescent="0.3">
      <c r="A58" s="59" t="s">
        <v>54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</row>
    <row r="59" spans="1:12" s="3" customFormat="1" ht="28.8" x14ac:dyDescent="0.3">
      <c r="B59" s="3" t="s">
        <v>0</v>
      </c>
      <c r="C59" s="3" t="s">
        <v>22</v>
      </c>
      <c r="D59" s="3" t="s">
        <v>23</v>
      </c>
      <c r="E59" s="3" t="s">
        <v>24</v>
      </c>
      <c r="F59" s="3" t="s">
        <v>26</v>
      </c>
      <c r="G59" s="3" t="s">
        <v>25</v>
      </c>
      <c r="H59" s="4" t="s">
        <v>20</v>
      </c>
      <c r="I59" s="4" t="s">
        <v>28</v>
      </c>
      <c r="J59" s="4" t="s">
        <v>21</v>
      </c>
      <c r="K59" s="4" t="s">
        <v>4</v>
      </c>
      <c r="L59" s="4" t="s">
        <v>29</v>
      </c>
    </row>
    <row r="60" spans="1:12" x14ac:dyDescent="0.3">
      <c r="A60" t="s">
        <v>22</v>
      </c>
      <c r="B60" s="1">
        <v>0</v>
      </c>
      <c r="C60" s="1">
        <v>0.46238615488012602</v>
      </c>
      <c r="D60" s="1">
        <v>0.29663730754206502</v>
      </c>
      <c r="E60" s="1">
        <v>0.116564467704544</v>
      </c>
      <c r="F60" s="1">
        <v>9.4808451967158605E-2</v>
      </c>
      <c r="G60" s="1">
        <v>1.3905665279404799E-3</v>
      </c>
      <c r="H60" s="1">
        <f>AVERAGE(C60:G60)</f>
        <v>0.19435738972436681</v>
      </c>
      <c r="I60" s="1"/>
      <c r="J60" s="1">
        <f>MAX(C60-G60, D60-G60,E60-G60,F60-G60)</f>
        <v>0.46099558835218551</v>
      </c>
      <c r="K60" s="1"/>
    </row>
    <row r="61" spans="1:12" x14ac:dyDescent="0.3">
      <c r="A61" t="s">
        <v>23</v>
      </c>
      <c r="B61" s="1">
        <v>0</v>
      </c>
      <c r="C61" s="1">
        <v>0.25335436795527699</v>
      </c>
      <c r="D61" s="1">
        <v>0.54079308857520403</v>
      </c>
      <c r="E61" s="1">
        <v>0.168777445331215</v>
      </c>
      <c r="F61" s="1">
        <v>0.32945313490927203</v>
      </c>
      <c r="G61" s="1">
        <v>1.2263709068065501E-3</v>
      </c>
      <c r="H61" s="1">
        <f>AVERAGE(C61:G61)</f>
        <v>0.25872088153555495</v>
      </c>
      <c r="I61" s="1"/>
      <c r="J61" s="1">
        <f t="shared" ref="J61:J63" si="5">MAX(C61-G61, D61-G61,E61-G61,F61-G61)</f>
        <v>0.53956671766839748</v>
      </c>
      <c r="K61" s="1">
        <f>C61</f>
        <v>0.25335436795527699</v>
      </c>
    </row>
    <row r="62" spans="1:12" x14ac:dyDescent="0.3">
      <c r="A62" t="s">
        <v>24</v>
      </c>
      <c r="B62" s="1">
        <v>0.68415092180172599</v>
      </c>
      <c r="C62" s="1">
        <v>0.63101756076018001</v>
      </c>
      <c r="D62" s="1">
        <v>0.36374039078752202</v>
      </c>
      <c r="E62" s="1">
        <v>0.734295641382535</v>
      </c>
      <c r="F62" s="1">
        <v>0.705619476735591</v>
      </c>
      <c r="G62" s="1">
        <v>6.3146667768402597E-3</v>
      </c>
      <c r="H62" s="1">
        <f>AVERAGE(C62:G62)</f>
        <v>0.4881975472885336</v>
      </c>
      <c r="I62" s="1"/>
      <c r="J62" s="1">
        <f t="shared" si="5"/>
        <v>0.72798097460569478</v>
      </c>
      <c r="K62" s="1">
        <f>AVERAGE(C62,D62)</f>
        <v>0.49737897577385104</v>
      </c>
    </row>
    <row r="63" spans="1:12" x14ac:dyDescent="0.3">
      <c r="A63" s="3" t="s">
        <v>26</v>
      </c>
      <c r="B63" s="1">
        <v>0</v>
      </c>
      <c r="C63" s="1">
        <v>3.37733336685535E-2</v>
      </c>
      <c r="D63" s="1">
        <v>4.4125692459147103E-2</v>
      </c>
      <c r="E63" s="1">
        <v>7.9827924508814804E-2</v>
      </c>
      <c r="F63" s="1">
        <v>0.54793563857674599</v>
      </c>
      <c r="G63" s="1">
        <v>1.30211139185121E-3</v>
      </c>
      <c r="H63" s="1">
        <f>AVERAGE(C63:G63)</f>
        <v>0.14139294012102252</v>
      </c>
      <c r="I63" s="1"/>
      <c r="J63" s="1">
        <f t="shared" si="5"/>
        <v>0.54663352718489477</v>
      </c>
      <c r="K63" s="1">
        <f>AVERAGE(C63, D63, E63)</f>
        <v>5.2575650212171809E-2</v>
      </c>
    </row>
    <row r="64" spans="1:12" x14ac:dyDescent="0.3">
      <c r="A64" t="s">
        <v>25</v>
      </c>
      <c r="B64" s="1">
        <v>1.3723343806759601E-4</v>
      </c>
      <c r="C64" s="1">
        <v>5.7094485055131296E-4</v>
      </c>
      <c r="D64" s="1">
        <v>3.4664280550108102E-4</v>
      </c>
      <c r="E64" s="1">
        <v>7.7526286622742104E-4</v>
      </c>
      <c r="F64" s="1">
        <v>3.9138699503382597E-4</v>
      </c>
      <c r="G64" s="8">
        <v>0.96358668804168701</v>
      </c>
      <c r="H64" s="1">
        <f>AVERAGE(C64:G64)</f>
        <v>0.19313418511180014</v>
      </c>
      <c r="I64" s="1"/>
      <c r="J64" s="1"/>
      <c r="K64" s="1">
        <f>AVERAGE(C64, D64, E64,F64)</f>
        <v>5.2105937932841019E-4</v>
      </c>
    </row>
    <row r="65" spans="1:12" x14ac:dyDescent="0.3">
      <c r="A65" t="s">
        <v>1</v>
      </c>
      <c r="B65" s="1">
        <v>0.97939328849315599</v>
      </c>
      <c r="C65" s="1">
        <v>0.97175669670104903</v>
      </c>
      <c r="D65" s="1">
        <v>0.88949318230152097</v>
      </c>
      <c r="E65" s="1">
        <v>0.95774996280670099</v>
      </c>
      <c r="F65" s="1">
        <v>0.61579474806785495</v>
      </c>
      <c r="G65" s="8">
        <v>0.22085920348763399</v>
      </c>
      <c r="L65" s="2">
        <f>(B65-G65)/B65</f>
        <v>0.77449385646961444</v>
      </c>
    </row>
    <row r="66" spans="1:12" x14ac:dyDescent="0.3">
      <c r="A66" s="4" t="s">
        <v>5</v>
      </c>
      <c r="B66" s="2"/>
      <c r="C66" s="2"/>
      <c r="D66" s="2"/>
      <c r="E66" s="2"/>
      <c r="F66" s="2"/>
      <c r="G66" s="2"/>
      <c r="H66" s="2">
        <f>AVERAGE(H60:H64)</f>
        <v>0.25516058875625564</v>
      </c>
      <c r="I66" s="2">
        <f>AVERAGE(G60:G64)</f>
        <v>0.1947640807290251</v>
      </c>
      <c r="J66" s="2">
        <f>AVERAGE(J60:J63)</f>
        <v>0.56879420195279318</v>
      </c>
      <c r="K66" s="2">
        <f>AVERAGE(K60:K65)</f>
        <v>0.20095751333015707</v>
      </c>
      <c r="L66" s="5"/>
    </row>
    <row r="68" spans="1:12" x14ac:dyDescent="0.3">
      <c r="A68" s="59" t="s">
        <v>54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</row>
    <row r="69" spans="1:12" s="3" customFormat="1" ht="28.8" x14ac:dyDescent="0.3">
      <c r="B69" s="3" t="s">
        <v>0</v>
      </c>
      <c r="C69" s="3" t="s">
        <v>22</v>
      </c>
      <c r="D69" s="3" t="s">
        <v>23</v>
      </c>
      <c r="E69" s="3" t="s">
        <v>24</v>
      </c>
      <c r="F69" s="3" t="s">
        <v>55</v>
      </c>
      <c r="G69" s="3" t="s">
        <v>26</v>
      </c>
      <c r="H69" s="4" t="s">
        <v>20</v>
      </c>
      <c r="I69" s="4" t="s">
        <v>28</v>
      </c>
      <c r="J69" s="4" t="s">
        <v>21</v>
      </c>
      <c r="K69" s="4" t="s">
        <v>4</v>
      </c>
      <c r="L69" s="4" t="s">
        <v>29</v>
      </c>
    </row>
    <row r="70" spans="1:12" x14ac:dyDescent="0.3">
      <c r="A70" t="s">
        <v>22</v>
      </c>
      <c r="B70" s="1">
        <v>0</v>
      </c>
      <c r="C70" s="1">
        <v>0.44147483507792101</v>
      </c>
      <c r="D70" s="1">
        <v>0.30033270735293599</v>
      </c>
      <c r="E70" s="1">
        <v>0.11358211388384599</v>
      </c>
      <c r="F70" s="1">
        <v>4.6950540298287997E-2</v>
      </c>
      <c r="G70" s="1">
        <v>5.0610746773600099E-2</v>
      </c>
      <c r="H70" s="1">
        <f>AVERAGE(C70:G70)</f>
        <v>0.19059018867731822</v>
      </c>
      <c r="I70" s="1"/>
      <c r="J70" s="1">
        <f>MAX(C70-G70, D70-G70,E70-G70,F70-G70)</f>
        <v>0.3908640883043209</v>
      </c>
      <c r="K70" s="1"/>
    </row>
    <row r="71" spans="1:12" x14ac:dyDescent="0.3">
      <c r="A71" t="s">
        <v>23</v>
      </c>
      <c r="B71" s="1">
        <v>0</v>
      </c>
      <c r="C71" s="1">
        <v>0.23805998797373201</v>
      </c>
      <c r="D71" s="1">
        <v>0.53896507620811396</v>
      </c>
      <c r="E71" s="1">
        <v>0.17033351585268899</v>
      </c>
      <c r="F71" s="1">
        <v>0.11019541951827699</v>
      </c>
      <c r="G71" s="1">
        <v>0.109292416635677</v>
      </c>
      <c r="H71" s="1">
        <f>AVERAGE(C71:G71)</f>
        <v>0.23336928323769776</v>
      </c>
      <c r="I71" s="1"/>
      <c r="J71" s="1">
        <f t="shared" ref="J71:J73" si="6">MAX(C71-G71, D71-G71,E71-G71,F71-G71)</f>
        <v>0.42967265957243694</v>
      </c>
      <c r="K71" s="1">
        <f>C71</f>
        <v>0.23805998797373201</v>
      </c>
    </row>
    <row r="72" spans="1:12" x14ac:dyDescent="0.3">
      <c r="A72" t="s">
        <v>24</v>
      </c>
      <c r="B72" s="1">
        <v>0.68415092180172599</v>
      </c>
      <c r="C72" s="1">
        <v>0.63333481177687601</v>
      </c>
      <c r="D72" s="1">
        <v>0.37404438977440102</v>
      </c>
      <c r="E72" s="1">
        <v>0.73330143590768104</v>
      </c>
      <c r="F72" s="1">
        <v>0.68315326919158303</v>
      </c>
      <c r="G72" s="1">
        <v>0.57253382354974702</v>
      </c>
      <c r="H72" s="1">
        <f>AVERAGE(C72:G72)</f>
        <v>0.59927354604005756</v>
      </c>
      <c r="I72" s="1"/>
      <c r="J72" s="1">
        <f t="shared" si="6"/>
        <v>0.16076761235793402</v>
      </c>
      <c r="K72" s="1">
        <f>AVERAGE(C72,D72)</f>
        <v>0.50368960077563851</v>
      </c>
    </row>
    <row r="73" spans="1:12" s="3" customFormat="1" x14ac:dyDescent="0.3">
      <c r="A73" s="3" t="s">
        <v>55</v>
      </c>
      <c r="B73" s="9">
        <v>0</v>
      </c>
      <c r="C73" s="9">
        <v>3.0036379689893901E-2</v>
      </c>
      <c r="D73" s="9">
        <v>7.3024460210338697E-3</v>
      </c>
      <c r="E73" s="9">
        <v>3.10293628353974E-3</v>
      </c>
      <c r="F73" s="9">
        <v>0.485671397298574</v>
      </c>
      <c r="G73" s="9">
        <v>0.35784004752834597</v>
      </c>
      <c r="H73" s="9">
        <f>AVERAGE(C73:G73)</f>
        <v>0.1767906413642775</v>
      </c>
      <c r="I73" s="9"/>
      <c r="J73" s="9">
        <f t="shared" si="6"/>
        <v>0.12783134977022803</v>
      </c>
      <c r="K73" s="9">
        <f>AVERAGE(C73, D73, E73)</f>
        <v>1.348058733148917E-2</v>
      </c>
    </row>
    <row r="74" spans="1:12" x14ac:dyDescent="0.3">
      <c r="A74" s="3" t="s">
        <v>26</v>
      </c>
      <c r="B74" s="1">
        <v>0</v>
      </c>
      <c r="C74" s="1">
        <v>3.7610248119259802E-2</v>
      </c>
      <c r="D74" s="1">
        <v>4.0641051996317401E-2</v>
      </c>
      <c r="E74" s="1">
        <v>8.0549234262434696E-2</v>
      </c>
      <c r="F74" s="1">
        <v>0.26479196998601101</v>
      </c>
      <c r="G74" s="8">
        <v>0.52129654710491502</v>
      </c>
      <c r="H74" s="1">
        <f>AVERAGE(C74:G74)</f>
        <v>0.18897781029378757</v>
      </c>
      <c r="I74" s="1"/>
      <c r="J74" s="1"/>
      <c r="K74" s="1">
        <f>AVERAGE(C74, D74, E74,F74)</f>
        <v>0.10589812609100573</v>
      </c>
    </row>
    <row r="75" spans="1:12" x14ac:dyDescent="0.3">
      <c r="A75" t="s">
        <v>1</v>
      </c>
      <c r="B75" s="1">
        <v>0.97939328849315599</v>
      </c>
      <c r="C75" s="1">
        <v>0.97258591651916504</v>
      </c>
      <c r="D75" s="1">
        <v>0.85116912424564295</v>
      </c>
      <c r="E75" s="1">
        <v>0.95474274456500996</v>
      </c>
      <c r="F75" s="1">
        <v>0.27819663286209101</v>
      </c>
      <c r="G75" s="1">
        <v>2.4090629536658501E-2</v>
      </c>
      <c r="L75" s="2">
        <f>(B75-G75)/B75</f>
        <v>0.97540249681134417</v>
      </c>
    </row>
    <row r="76" spans="1:12" x14ac:dyDescent="0.3">
      <c r="A76" s="4" t="s">
        <v>5</v>
      </c>
      <c r="B76" s="2"/>
      <c r="C76" s="2"/>
      <c r="D76" s="2"/>
      <c r="E76" s="2"/>
      <c r="F76" s="2"/>
      <c r="G76" s="2"/>
      <c r="H76" s="2">
        <f>AVERAGE(H70:H74)</f>
        <v>0.27780029392262773</v>
      </c>
      <c r="I76" s="2">
        <f>AVERAGE(G70:G74)</f>
        <v>0.3223147163184571</v>
      </c>
      <c r="J76" s="2">
        <f>AVERAGE(J70:J73)</f>
        <v>0.27728392750122999</v>
      </c>
      <c r="K76" s="2">
        <f>AVERAGE(K70:K75)</f>
        <v>0.21528207554296636</v>
      </c>
      <c r="L76" s="5"/>
    </row>
    <row r="78" spans="1:12" x14ac:dyDescent="0.3">
      <c r="A78" s="59" t="s">
        <v>54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</row>
    <row r="79" spans="1:12" s="3" customFormat="1" ht="28.8" x14ac:dyDescent="0.3">
      <c r="B79" s="3" t="s">
        <v>0</v>
      </c>
      <c r="C79" s="3" t="s">
        <v>22</v>
      </c>
      <c r="D79" s="3" t="s">
        <v>23</v>
      </c>
      <c r="E79" s="3" t="s">
        <v>24</v>
      </c>
      <c r="F79" s="3" t="s">
        <v>25</v>
      </c>
      <c r="G79" s="3" t="s">
        <v>55</v>
      </c>
      <c r="H79" s="4" t="s">
        <v>20</v>
      </c>
      <c r="I79" s="4" t="s">
        <v>28</v>
      </c>
      <c r="J79" s="4" t="s">
        <v>21</v>
      </c>
      <c r="K79" s="4" t="s">
        <v>4</v>
      </c>
      <c r="L79" s="4" t="s">
        <v>29</v>
      </c>
    </row>
    <row r="80" spans="1:12" x14ac:dyDescent="0.3">
      <c r="A80" t="s">
        <v>22</v>
      </c>
      <c r="B80" s="1">
        <v>0</v>
      </c>
      <c r="C80" s="1">
        <v>0.41054571047425198</v>
      </c>
      <c r="D80" s="1">
        <v>0.30471935992439497</v>
      </c>
      <c r="E80" s="1">
        <v>0.104939021014918</v>
      </c>
      <c r="F80" s="1">
        <v>1.35330074651089E-3</v>
      </c>
      <c r="G80" s="8">
        <v>0</v>
      </c>
      <c r="H80" s="1">
        <f>AVERAGE(C80:G80)</f>
        <v>0.16431147843201516</v>
      </c>
      <c r="I80" s="1"/>
      <c r="J80" s="1">
        <f>MAX(C80-G80, D80-G80,E80-G80,F80-G80)</f>
        <v>0.41054571047425198</v>
      </c>
      <c r="K80" s="1"/>
    </row>
    <row r="81" spans="1:12" x14ac:dyDescent="0.3">
      <c r="A81" t="s">
        <v>23</v>
      </c>
      <c r="B81" s="1">
        <v>0</v>
      </c>
      <c r="C81" s="1">
        <v>0.2310886712512</v>
      </c>
      <c r="D81" s="1">
        <v>0.53457058966159798</v>
      </c>
      <c r="E81" s="1">
        <v>0.17299471267809399</v>
      </c>
      <c r="F81" s="1">
        <v>1.19193144443367E-3</v>
      </c>
      <c r="G81" s="8">
        <v>0</v>
      </c>
      <c r="H81" s="1">
        <f>AVERAGE(C81:G81)</f>
        <v>0.18796918100706511</v>
      </c>
      <c r="I81" s="1"/>
      <c r="J81" s="1">
        <f t="shared" ref="J81:J83" si="7">MAX(C81-G81, D81-G81,E81-G81,F81-G81)</f>
        <v>0.53457058966159798</v>
      </c>
      <c r="K81" s="1">
        <f>C81</f>
        <v>0.2310886712512</v>
      </c>
    </row>
    <row r="82" spans="1:12" x14ac:dyDescent="0.3">
      <c r="A82" t="s">
        <v>24</v>
      </c>
      <c r="B82" s="1">
        <v>0.68415092180172599</v>
      </c>
      <c r="C82" s="1">
        <v>0.63879678522547001</v>
      </c>
      <c r="D82" s="1">
        <v>0.43339423959453899</v>
      </c>
      <c r="E82" s="1">
        <v>0.73254756008585298</v>
      </c>
      <c r="F82" s="1">
        <v>6.1058361219086896E-3</v>
      </c>
      <c r="G82" s="8">
        <v>0</v>
      </c>
      <c r="H82" s="1">
        <f>AVERAGE(C82:G82)</f>
        <v>0.3621688842055541</v>
      </c>
      <c r="I82" s="1"/>
      <c r="J82" s="1">
        <f t="shared" si="7"/>
        <v>0.73254756008585298</v>
      </c>
      <c r="K82" s="1">
        <f>AVERAGE(C82,D82)</f>
        <v>0.53609551241000453</v>
      </c>
    </row>
    <row r="83" spans="1:12" s="3" customFormat="1" x14ac:dyDescent="0.3">
      <c r="A83" t="s">
        <v>25</v>
      </c>
      <c r="B83" s="9">
        <v>1.3723343806759601E-4</v>
      </c>
      <c r="C83" s="9">
        <v>6.5940971580857801E-4</v>
      </c>
      <c r="D83" s="9">
        <v>3.7111140318302199E-4</v>
      </c>
      <c r="E83" s="9">
        <v>6.4890625314243701E-4</v>
      </c>
      <c r="F83" s="9">
        <v>0.98333247999350204</v>
      </c>
      <c r="G83" s="44">
        <v>0</v>
      </c>
      <c r="H83" s="9">
        <f>AVERAGE(C83:G83)</f>
        <v>0.19700238147312721</v>
      </c>
      <c r="I83" s="9"/>
      <c r="J83" s="9">
        <f t="shared" si="7"/>
        <v>0.98333247999350204</v>
      </c>
      <c r="K83" s="9">
        <f>AVERAGE(C83, D83, E83)</f>
        <v>5.5980912404467902E-4</v>
      </c>
    </row>
    <row r="84" spans="1:12" s="3" customFormat="1" x14ac:dyDescent="0.3">
      <c r="A84" t="s">
        <v>55</v>
      </c>
      <c r="B84" s="9">
        <v>0</v>
      </c>
      <c r="C84" s="9">
        <v>2.9400883674194699E-2</v>
      </c>
      <c r="D84" s="9">
        <v>1.0018392814041901E-2</v>
      </c>
      <c r="E84" s="9">
        <v>1.83506589382886E-3</v>
      </c>
      <c r="F84" s="9">
        <v>1.03769130631311E-3</v>
      </c>
      <c r="G84" s="44">
        <v>0</v>
      </c>
      <c r="H84" s="9">
        <f>AVERAGE(C84:G84)</f>
        <v>8.4584067376757138E-3</v>
      </c>
      <c r="I84" s="9"/>
      <c r="J84" s="9"/>
      <c r="K84" s="9">
        <f>AVERAGE(C84, D84, E84,F84)</f>
        <v>1.0573008422094642E-2</v>
      </c>
    </row>
    <row r="85" spans="1:12" x14ac:dyDescent="0.3">
      <c r="A85" t="s">
        <v>1</v>
      </c>
      <c r="B85" s="1">
        <v>0.97939328849315599</v>
      </c>
      <c r="C85" s="1">
        <v>0.97452850639820099</v>
      </c>
      <c r="D85" s="1">
        <v>0.87235273420810699</v>
      </c>
      <c r="E85" s="1">
        <v>0.95021821558475394</v>
      </c>
      <c r="F85" s="1">
        <v>0.21932808682322499</v>
      </c>
      <c r="G85" s="8">
        <v>0</v>
      </c>
      <c r="L85" s="2">
        <f>(B85-G85)/B85</f>
        <v>1</v>
      </c>
    </row>
    <row r="86" spans="1:12" x14ac:dyDescent="0.3">
      <c r="A86" s="4" t="s">
        <v>5</v>
      </c>
      <c r="B86" s="2"/>
      <c r="C86" s="2"/>
      <c r="D86" s="2"/>
      <c r="E86" s="2"/>
      <c r="F86" s="2"/>
      <c r="G86" s="2"/>
      <c r="H86" s="2">
        <f>AVERAGE(H80:H84)</f>
        <v>0.18398206637108744</v>
      </c>
      <c r="I86" s="2">
        <f>AVERAGE(G80:G84)</f>
        <v>0</v>
      </c>
      <c r="J86" s="2">
        <f>AVERAGE(J80:J83)</f>
        <v>0.66524908505380131</v>
      </c>
      <c r="K86" s="2">
        <f>AVERAGE(K80:K85)</f>
        <v>0.19457925030183595</v>
      </c>
      <c r="L86" s="5"/>
    </row>
    <row r="88" spans="1:12" x14ac:dyDescent="0.3">
      <c r="A88" s="59" t="s">
        <v>88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</row>
    <row r="89" spans="1:12" ht="28.8" x14ac:dyDescent="0.3">
      <c r="B89" s="3" t="s">
        <v>0</v>
      </c>
      <c r="C89" s="3" t="s">
        <v>22</v>
      </c>
      <c r="D89" s="3" t="s">
        <v>23</v>
      </c>
      <c r="E89" s="3" t="s">
        <v>24</v>
      </c>
      <c r="F89" s="3" t="s">
        <v>25</v>
      </c>
      <c r="G89" s="3" t="s">
        <v>26</v>
      </c>
      <c r="H89" s="4" t="s">
        <v>20</v>
      </c>
      <c r="I89" s="4" t="s">
        <v>28</v>
      </c>
      <c r="J89" s="4" t="s">
        <v>21</v>
      </c>
      <c r="K89" s="4" t="s">
        <v>4</v>
      </c>
      <c r="L89" s="4" t="s">
        <v>29</v>
      </c>
    </row>
    <row r="90" spans="1:12" x14ac:dyDescent="0.3">
      <c r="A90" t="s">
        <v>22</v>
      </c>
      <c r="B90" s="1">
        <v>0</v>
      </c>
      <c r="C90" s="1">
        <v>0.62810097013910604</v>
      </c>
      <c r="D90" s="1">
        <v>0.43911324689785602</v>
      </c>
      <c r="E90" s="1">
        <v>0.50969985624154401</v>
      </c>
      <c r="F90" s="1">
        <v>1.3029547403675601E-3</v>
      </c>
      <c r="G90" s="8">
        <v>0.143365876128276</v>
      </c>
      <c r="H90" s="1">
        <f>AVERAGE(C90:G90)</f>
        <v>0.34431658082942995</v>
      </c>
      <c r="I90" s="1"/>
      <c r="J90" s="1">
        <f>MAX(C90-G90, D90-G90,E90-G90,F90-G90)</f>
        <v>0.48473509401083004</v>
      </c>
      <c r="K90" s="1"/>
    </row>
    <row r="91" spans="1:12" x14ac:dyDescent="0.3">
      <c r="A91" t="s">
        <v>23</v>
      </c>
      <c r="B91" s="1">
        <v>0</v>
      </c>
      <c r="C91" s="1">
        <v>0.139454519764209</v>
      </c>
      <c r="D91" s="1">
        <v>0.51600321878989497</v>
      </c>
      <c r="E91" s="1">
        <v>0.45274322231610598</v>
      </c>
      <c r="F91" s="1">
        <v>3.9283280350067102E-3</v>
      </c>
      <c r="G91" s="8">
        <v>0.22618807821224099</v>
      </c>
      <c r="H91" s="1">
        <f>AVERAGE(C91:G91)</f>
        <v>0.2676634734234915</v>
      </c>
      <c r="I91" s="1"/>
      <c r="J91" s="1">
        <f t="shared" ref="J91:J93" si="8">MAX(C91-G91, D91-G91,E91-G91,F91-G91)</f>
        <v>0.28981514057765401</v>
      </c>
      <c r="K91" s="1">
        <f>C91</f>
        <v>0.139454519764209</v>
      </c>
    </row>
    <row r="92" spans="1:12" x14ac:dyDescent="0.3">
      <c r="A92" t="s">
        <v>24</v>
      </c>
      <c r="B92" s="1">
        <v>0.68415092180172599</v>
      </c>
      <c r="C92" s="1">
        <v>0.46383836865425099</v>
      </c>
      <c r="D92" s="1">
        <v>0.20939994448175001</v>
      </c>
      <c r="E92" s="1">
        <v>0.75959940751393595</v>
      </c>
      <c r="F92" s="1">
        <v>1.19946261838776E-2</v>
      </c>
      <c r="G92" s="1">
        <v>5.34720882230127E-2</v>
      </c>
      <c r="H92" s="1">
        <f>AVERAGE(C92:G92)</f>
        <v>0.29966088701136545</v>
      </c>
      <c r="I92" s="1"/>
      <c r="J92" s="1">
        <f t="shared" si="8"/>
        <v>0.70612731929092321</v>
      </c>
      <c r="K92" s="1">
        <f>AVERAGE(C92,D92)</f>
        <v>0.33661915656800051</v>
      </c>
    </row>
    <row r="93" spans="1:12" x14ac:dyDescent="0.3">
      <c r="A93" t="s">
        <v>25</v>
      </c>
      <c r="B93" s="1">
        <v>1.3723343806759601E-4</v>
      </c>
      <c r="C93" s="1">
        <v>3.0628665842868897E-4</v>
      </c>
      <c r="D93" s="1">
        <v>4.1139930150772299E-4</v>
      </c>
      <c r="E93" s="1">
        <v>5.4718906115643496E-4</v>
      </c>
      <c r="F93" s="1">
        <v>0.95977612584829297</v>
      </c>
      <c r="G93" s="8">
        <v>0.98944959044456404</v>
      </c>
      <c r="H93" s="1">
        <f>AVERAGE(C93:G93)</f>
        <v>0.39009811826278995</v>
      </c>
      <c r="I93" s="1"/>
      <c r="J93" s="1">
        <f t="shared" si="8"/>
        <v>-2.9673464596271071E-2</v>
      </c>
      <c r="K93" s="1">
        <f>AVERAGE(C93, D93, E93)</f>
        <v>4.2162500703094903E-4</v>
      </c>
    </row>
    <row r="94" spans="1:12" x14ac:dyDescent="0.3">
      <c r="A94" t="s">
        <v>26</v>
      </c>
      <c r="B94" s="1">
        <v>0</v>
      </c>
      <c r="C94" s="1">
        <v>1.5589032011727399E-2</v>
      </c>
      <c r="D94" s="1">
        <v>2.4700499717861601E-2</v>
      </c>
      <c r="E94" s="1">
        <v>0.11574160490272301</v>
      </c>
      <c r="F94" s="1">
        <v>2.75542707110313E-6</v>
      </c>
      <c r="G94" s="8">
        <v>0.35282638482749401</v>
      </c>
      <c r="H94" s="1">
        <f>AVERAGE(C94:G94)</f>
        <v>0.10177205537737541</v>
      </c>
      <c r="I94" s="1"/>
      <c r="J94" s="1"/>
      <c r="K94" s="1">
        <f>AVERAGE(C94, D94, E94,F94)</f>
        <v>3.9008473014845772E-2</v>
      </c>
    </row>
    <row r="95" spans="1:12" x14ac:dyDescent="0.3">
      <c r="A95" t="s">
        <v>1</v>
      </c>
      <c r="B95" s="1">
        <v>0.97939328849315599</v>
      </c>
      <c r="C95" s="1">
        <v>0.96701627969741799</v>
      </c>
      <c r="D95" s="1">
        <v>0.96715572476387002</v>
      </c>
      <c r="E95" s="1">
        <v>0.97445359826087896</v>
      </c>
      <c r="F95" s="1">
        <v>0.315164133906364</v>
      </c>
      <c r="G95" s="8">
        <v>0.44537243992090197</v>
      </c>
      <c r="L95" s="2">
        <f>(B95-G95)/B95</f>
        <v>0.5452567981080112</v>
      </c>
    </row>
    <row r="96" spans="1:12" x14ac:dyDescent="0.3">
      <c r="A96" s="4" t="s">
        <v>5</v>
      </c>
      <c r="B96" s="2"/>
      <c r="C96" s="2"/>
      <c r="D96" s="2"/>
      <c r="E96" s="2"/>
      <c r="F96" s="2"/>
      <c r="G96" s="2"/>
      <c r="H96" s="2">
        <f>AVERAGE(H90:H94)</f>
        <v>0.28070222298089048</v>
      </c>
      <c r="I96" s="2">
        <f>AVERAGE(G90:G94)</f>
        <v>0.35306040356711754</v>
      </c>
      <c r="J96" s="2">
        <f>AVERAGE(J90:J93)</f>
        <v>0.36275102232078404</v>
      </c>
      <c r="K96" s="2">
        <f>AVERAGE(K90:K95)</f>
        <v>0.12887594358852156</v>
      </c>
      <c r="L96" s="5"/>
    </row>
    <row r="98" spans="1:12" x14ac:dyDescent="0.3">
      <c r="A98" s="60" t="s">
        <v>74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</row>
    <row r="99" spans="1:12" ht="28.8" x14ac:dyDescent="0.3">
      <c r="B99" s="3" t="s">
        <v>0</v>
      </c>
      <c r="C99" s="3" t="s">
        <v>26</v>
      </c>
      <c r="D99" s="3" t="s">
        <v>25</v>
      </c>
      <c r="E99" s="3" t="s">
        <v>24</v>
      </c>
      <c r="F99" s="3" t="s">
        <v>23</v>
      </c>
      <c r="G99" s="3" t="s">
        <v>22</v>
      </c>
      <c r="H99" s="4" t="s">
        <v>20</v>
      </c>
      <c r="I99" s="4" t="s">
        <v>28</v>
      </c>
      <c r="J99" s="4" t="s">
        <v>21</v>
      </c>
      <c r="K99" s="4" t="s">
        <v>4</v>
      </c>
      <c r="L99" s="4" t="s">
        <v>29</v>
      </c>
    </row>
    <row r="100" spans="1:12" x14ac:dyDescent="0.3">
      <c r="A100" t="s">
        <v>27</v>
      </c>
      <c r="B100" s="1">
        <v>0</v>
      </c>
      <c r="C100" s="1">
        <v>0.47540991008281702</v>
      </c>
      <c r="D100" s="1">
        <v>1.3508871318966399E-3</v>
      </c>
      <c r="E100" s="1">
        <v>2.2512148761961701E-2</v>
      </c>
      <c r="F100" s="1">
        <v>8.7837778342266803E-2</v>
      </c>
      <c r="G100" s="1">
        <v>0.20303239331891099</v>
      </c>
      <c r="H100" s="1">
        <f>AVERAGE(C100:G100)</f>
        <v>0.15802862352757063</v>
      </c>
      <c r="I100" s="1"/>
      <c r="J100" s="1">
        <f>MAX(C100-G100, D100-G100,E100-G100,F100-G100)</f>
        <v>0.27237751676390604</v>
      </c>
      <c r="K100" s="1"/>
    </row>
    <row r="101" spans="1:12" x14ac:dyDescent="0.3">
      <c r="A101" t="s">
        <v>25</v>
      </c>
      <c r="B101" s="1">
        <v>1.3723343806759601E-4</v>
      </c>
      <c r="C101" s="1">
        <v>3.0646988670923698E-4</v>
      </c>
      <c r="D101" s="1">
        <v>0.91253551095724095</v>
      </c>
      <c r="E101" s="1">
        <v>0.92345138887564304</v>
      </c>
      <c r="F101" s="1">
        <v>0.99002377192179303</v>
      </c>
      <c r="G101" s="1">
        <v>0.95694147547085995</v>
      </c>
      <c r="H101" s="1">
        <f>AVERAGE(C101:G101)</f>
        <v>0.75665172342244924</v>
      </c>
      <c r="I101" s="1"/>
      <c r="J101" s="1">
        <f t="shared" ref="J101:J103" si="9">MAX(C101-G101, D101-G101,E101-G101,F101-G101)</f>
        <v>3.308229645093308E-2</v>
      </c>
      <c r="K101" s="1">
        <f>C101</f>
        <v>3.0646988670923698E-4</v>
      </c>
    </row>
    <row r="102" spans="1:12" x14ac:dyDescent="0.3">
      <c r="A102" t="s">
        <v>24</v>
      </c>
      <c r="B102" s="1">
        <v>0.68415092180172599</v>
      </c>
      <c r="C102" s="1">
        <v>0.67397208387652996</v>
      </c>
      <c r="D102" s="1">
        <v>6.3845537758121804E-3</v>
      </c>
      <c r="E102" s="1">
        <v>0.58256283278266496</v>
      </c>
      <c r="F102" s="1">
        <v>0.49521296719710001</v>
      </c>
      <c r="G102" s="1">
        <v>0.48235992466409999</v>
      </c>
      <c r="H102" s="1">
        <f>AVERAGE(C102:G102)</f>
        <v>0.44809847245924139</v>
      </c>
      <c r="I102" s="1"/>
      <c r="J102" s="1">
        <f t="shared" si="9"/>
        <v>0.19161215921242997</v>
      </c>
      <c r="K102" s="1">
        <f>AVERAGE(C102,D102)</f>
        <v>0.34017831882617106</v>
      </c>
    </row>
    <row r="103" spans="1:12" x14ac:dyDescent="0.3">
      <c r="A103" t="s">
        <v>23</v>
      </c>
      <c r="B103" s="1">
        <v>0</v>
      </c>
      <c r="C103" s="1">
        <v>0.13575097208376899</v>
      </c>
      <c r="D103" s="1">
        <v>1.27363036881433E-3</v>
      </c>
      <c r="E103" s="1">
        <v>2.8555768153940599E-2</v>
      </c>
      <c r="F103" s="1">
        <v>0.46168836330374002</v>
      </c>
      <c r="G103" s="8">
        <v>0.32544879863659498</v>
      </c>
      <c r="H103" s="1">
        <f>AVERAGE(C103:G103)</f>
        <v>0.19054350650937177</v>
      </c>
      <c r="I103" s="1"/>
      <c r="J103" s="1">
        <f t="shared" si="9"/>
        <v>0.13623956466714504</v>
      </c>
      <c r="K103" s="1">
        <f>AVERAGE(C103, D103, E103)</f>
        <v>5.5193456868841306E-2</v>
      </c>
    </row>
    <row r="104" spans="1:12" x14ac:dyDescent="0.3">
      <c r="A104" t="s">
        <v>22</v>
      </c>
      <c r="B104" s="1">
        <v>0</v>
      </c>
      <c r="C104" s="1">
        <v>5.5970647372305298E-3</v>
      </c>
      <c r="D104" s="1">
        <v>1.4561098335737601E-3</v>
      </c>
      <c r="E104" s="1">
        <v>2.66690011291454E-2</v>
      </c>
      <c r="F104" s="1">
        <v>0.214766477234661</v>
      </c>
      <c r="G104" s="8">
        <v>0.60982201124230995</v>
      </c>
      <c r="H104" s="1">
        <f>AVERAGE(C104:G104)</f>
        <v>0.17166213283538415</v>
      </c>
      <c r="I104" s="1"/>
      <c r="J104" s="1"/>
      <c r="K104" s="1">
        <f>AVERAGE(C104, D104, E104,F104)</f>
        <v>6.2122163233652675E-2</v>
      </c>
    </row>
    <row r="105" spans="1:12" x14ac:dyDescent="0.3">
      <c r="A105" t="s">
        <v>1</v>
      </c>
      <c r="B105" s="1">
        <v>0.97939328849315599</v>
      </c>
      <c r="C105" s="1">
        <v>0.97705349326133695</v>
      </c>
      <c r="D105" s="1">
        <v>0.27458027377724598</v>
      </c>
      <c r="E105" s="1">
        <v>0.25268932431936197</v>
      </c>
      <c r="F105" s="1">
        <v>0.64625655114650704</v>
      </c>
      <c r="G105" s="1">
        <v>0.72923201322555498</v>
      </c>
      <c r="L105" s="2">
        <f>(B105-G105)/B105</f>
        <v>0.25542473917958564</v>
      </c>
    </row>
    <row r="106" spans="1:12" x14ac:dyDescent="0.3">
      <c r="A106" s="4" t="s">
        <v>5</v>
      </c>
      <c r="B106" s="2"/>
      <c r="C106" s="2"/>
      <c r="D106" s="2"/>
      <c r="E106" s="2"/>
      <c r="F106" s="2"/>
      <c r="G106" s="2"/>
      <c r="H106" s="2">
        <f>AVERAGE(H100:H104)</f>
        <v>0.34499689175080345</v>
      </c>
      <c r="I106" s="2">
        <f>AVERAGE(G100:G104)</f>
        <v>0.51552092066655519</v>
      </c>
      <c r="J106" s="2">
        <f>AVERAGE(J100:J103)</f>
        <v>0.15832788427360353</v>
      </c>
      <c r="K106" s="2">
        <f>AVERAGE(K100:K105)</f>
        <v>0.11445010220384357</v>
      </c>
      <c r="L106" s="5"/>
    </row>
    <row r="108" spans="1:12" x14ac:dyDescent="0.3">
      <c r="A108" s="59" t="s">
        <v>89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</row>
    <row r="109" spans="1:12" ht="28.8" x14ac:dyDescent="0.3">
      <c r="B109" s="3" t="s">
        <v>0</v>
      </c>
      <c r="C109" s="3" t="s">
        <v>22</v>
      </c>
      <c r="D109" s="3" t="s">
        <v>23</v>
      </c>
      <c r="E109" s="3" t="s">
        <v>24</v>
      </c>
      <c r="F109" s="3" t="s">
        <v>25</v>
      </c>
      <c r="G109" s="3" t="s">
        <v>26</v>
      </c>
      <c r="H109" s="4" t="s">
        <v>20</v>
      </c>
      <c r="I109" s="4" t="s">
        <v>28</v>
      </c>
      <c r="J109" s="4" t="s">
        <v>21</v>
      </c>
      <c r="K109" s="4" t="s">
        <v>4</v>
      </c>
      <c r="L109" s="4" t="s">
        <v>29</v>
      </c>
    </row>
    <row r="110" spans="1:12" x14ac:dyDescent="0.3">
      <c r="A110" t="s">
        <v>22</v>
      </c>
      <c r="B110" s="1">
        <v>0</v>
      </c>
      <c r="C110" s="1">
        <v>0</v>
      </c>
      <c r="D110" s="1">
        <v>2.73453163875577E-5</v>
      </c>
      <c r="E110" s="1">
        <v>1.50123647472355E-4</v>
      </c>
      <c r="F110" s="1">
        <v>1.5531724711763601E-3</v>
      </c>
      <c r="G110" s="1">
        <v>0</v>
      </c>
      <c r="H110" s="1">
        <f>AVERAGE(C110:G110)</f>
        <v>3.4612828700725457E-4</v>
      </c>
      <c r="I110" s="1"/>
      <c r="J110" s="1">
        <f>MAX(C110-G110, D110-G110,E110-G110,F110-G110)</f>
        <v>1.5531724711763601E-3</v>
      </c>
      <c r="K110" s="1"/>
    </row>
    <row r="111" spans="1:12" x14ac:dyDescent="0.3">
      <c r="A111" t="s">
        <v>23</v>
      </c>
      <c r="B111" s="1">
        <v>0</v>
      </c>
      <c r="C111" s="1">
        <v>0</v>
      </c>
      <c r="D111" s="1">
        <v>1.26300898652213E-5</v>
      </c>
      <c r="E111" s="1">
        <v>3.7756365297051697E-5</v>
      </c>
      <c r="F111" s="1">
        <v>1.3837069515526899E-3</v>
      </c>
      <c r="G111" s="1">
        <v>0</v>
      </c>
      <c r="H111" s="1">
        <f>AVERAGE(C111:G111)</f>
        <v>2.868186813429926E-4</v>
      </c>
      <c r="I111" s="1"/>
      <c r="J111" s="1">
        <f t="shared" ref="J111:J113" si="10">MAX(C111-G111, D111-G111,E111-G111,F111-G111)</f>
        <v>1.3837069515526899E-3</v>
      </c>
      <c r="K111" s="1">
        <f>C111</f>
        <v>0</v>
      </c>
    </row>
    <row r="112" spans="1:12" x14ac:dyDescent="0.3">
      <c r="A112" t="s">
        <v>24</v>
      </c>
      <c r="B112" s="1">
        <v>0.68415092180172599</v>
      </c>
      <c r="C112" s="1">
        <v>0.68712784598271004</v>
      </c>
      <c r="D112" s="1">
        <v>0.68964421500762296</v>
      </c>
      <c r="E112" s="1">
        <v>0.69340994581580095</v>
      </c>
      <c r="F112" s="1">
        <v>7.2012954915408002E-3</v>
      </c>
      <c r="G112" s="1">
        <v>0</v>
      </c>
      <c r="H112" s="1">
        <f>AVERAGE(C112:G112)</f>
        <v>0.41547666045953502</v>
      </c>
      <c r="I112" s="1"/>
      <c r="J112" s="1">
        <f t="shared" si="10"/>
        <v>0.69340994581580095</v>
      </c>
      <c r="K112" s="1">
        <f>AVERAGE(C112,D112)</f>
        <v>0.68838603049516656</v>
      </c>
    </row>
    <row r="113" spans="1:12" x14ac:dyDescent="0.3">
      <c r="A113" t="s">
        <v>25</v>
      </c>
      <c r="B113" s="1">
        <v>1.3723343806759601E-4</v>
      </c>
      <c r="C113" s="1">
        <v>1.4777100237021499E-4</v>
      </c>
      <c r="D113" s="1">
        <v>1.5950290473180399E-4</v>
      </c>
      <c r="E113" s="1">
        <v>1.70863253401876E-4</v>
      </c>
      <c r="F113" s="1">
        <v>0.89049722502628903</v>
      </c>
      <c r="G113" s="1">
        <v>6.5203810615154598E-3</v>
      </c>
      <c r="H113" s="1">
        <f>AVERAGE(C113:G113)</f>
        <v>0.17949914864966168</v>
      </c>
      <c r="I113" s="1"/>
      <c r="J113" s="1">
        <f t="shared" si="10"/>
        <v>0.88397684396477361</v>
      </c>
      <c r="K113" s="1">
        <f>AVERAGE(C113, D113, E113)</f>
        <v>1.5937905350129833E-4</v>
      </c>
    </row>
    <row r="114" spans="1:12" x14ac:dyDescent="0.3">
      <c r="A114" t="s">
        <v>26</v>
      </c>
      <c r="B114" s="1">
        <v>0</v>
      </c>
      <c r="C114" s="1">
        <v>0</v>
      </c>
      <c r="D114" s="1">
        <v>0</v>
      </c>
      <c r="E114" s="1">
        <v>0</v>
      </c>
      <c r="F114" s="1">
        <v>1.4708800032773601E-3</v>
      </c>
      <c r="G114" s="1">
        <v>0</v>
      </c>
      <c r="H114" s="1">
        <f>AVERAGE(C114:G114)</f>
        <v>2.9417600065547204E-4</v>
      </c>
      <c r="I114" s="1"/>
      <c r="J114" s="1"/>
      <c r="K114" s="1">
        <f>AVERAGE(C114, D114, E114,F114)</f>
        <v>3.6772000081934002E-4</v>
      </c>
    </row>
    <row r="115" spans="1:12" x14ac:dyDescent="0.3">
      <c r="A115" t="s">
        <v>1</v>
      </c>
      <c r="B115" s="1">
        <v>0.97939328849315599</v>
      </c>
      <c r="C115" s="1">
        <v>0.97963894903659798</v>
      </c>
      <c r="D115" s="1">
        <v>0.98013667762279499</v>
      </c>
      <c r="E115" s="1">
        <v>0.98027762770652704</v>
      </c>
      <c r="F115" s="1">
        <v>0.219683106988668</v>
      </c>
      <c r="G115" s="8">
        <v>0.23475120961666099</v>
      </c>
      <c r="L115" s="2">
        <f>(B115-G115)/B115</f>
        <v>0.7603095586065971</v>
      </c>
    </row>
    <row r="116" spans="1:12" x14ac:dyDescent="0.3">
      <c r="A116" s="4" t="s">
        <v>5</v>
      </c>
      <c r="B116" s="2"/>
      <c r="C116" s="2"/>
      <c r="D116" s="2"/>
      <c r="E116" s="2"/>
      <c r="F116" s="2"/>
      <c r="G116" s="2"/>
      <c r="H116" s="2">
        <f>AVERAGE(H110:H114)</f>
        <v>0.11918058641564049</v>
      </c>
      <c r="I116" s="2">
        <f>AVERAGE(G110:G114)</f>
        <v>1.3040762123030919E-3</v>
      </c>
      <c r="J116" s="2">
        <f>AVERAGE(J110:J113)</f>
        <v>0.3950809173008259</v>
      </c>
      <c r="K116" s="2">
        <f>AVERAGE(K110:K115)</f>
        <v>0.17222828238737178</v>
      </c>
      <c r="L116" s="5"/>
    </row>
    <row r="118" spans="1:12" x14ac:dyDescent="0.3">
      <c r="A118" s="59" t="s">
        <v>90</v>
      </c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</row>
    <row r="119" spans="1:12" ht="28.8" x14ac:dyDescent="0.3">
      <c r="B119" s="3" t="s">
        <v>0</v>
      </c>
      <c r="C119" s="3" t="s">
        <v>22</v>
      </c>
      <c r="D119" s="3" t="s">
        <v>23</v>
      </c>
      <c r="E119" s="3" t="s">
        <v>24</v>
      </c>
      <c r="F119" s="3" t="s">
        <v>25</v>
      </c>
      <c r="G119" s="3" t="s">
        <v>26</v>
      </c>
      <c r="H119" s="4" t="s">
        <v>20</v>
      </c>
      <c r="I119" s="4" t="s">
        <v>28</v>
      </c>
      <c r="J119" s="4" t="s">
        <v>21</v>
      </c>
      <c r="K119" s="4" t="s">
        <v>4</v>
      </c>
      <c r="L119" s="4" t="s">
        <v>29</v>
      </c>
    </row>
    <row r="120" spans="1:12" x14ac:dyDescent="0.3">
      <c r="A120" t="s">
        <v>22</v>
      </c>
      <c r="B120" s="1">
        <v>0</v>
      </c>
      <c r="C120" s="1">
        <v>6.4654923820247202E-4</v>
      </c>
      <c r="D120" s="1">
        <v>1.7904332974770401E-3</v>
      </c>
      <c r="E120" s="1">
        <v>2.4702234465318398E-3</v>
      </c>
      <c r="F120" s="1">
        <v>1.4875026245135801E-3</v>
      </c>
      <c r="G120" s="1">
        <v>2.7988106573199401E-4</v>
      </c>
      <c r="H120" s="1">
        <f>AVERAGE(C120:G120)</f>
        <v>1.334917934491385E-3</v>
      </c>
      <c r="I120" s="1"/>
      <c r="J120" s="1">
        <f>MAX(C120-G120, D120-G120,E120-G120,F120-G120)</f>
        <v>2.1903423807998457E-3</v>
      </c>
      <c r="K120" s="1"/>
    </row>
    <row r="121" spans="1:12" x14ac:dyDescent="0.3">
      <c r="A121" t="s">
        <v>23</v>
      </c>
      <c r="B121" s="1">
        <v>0</v>
      </c>
      <c r="C121" s="1">
        <v>4.5180723342734002E-5</v>
      </c>
      <c r="D121" s="1">
        <v>1.9373630469393199E-3</v>
      </c>
      <c r="E121" s="1">
        <v>3.4998067967535402E-3</v>
      </c>
      <c r="F121" s="1">
        <v>1.54777525312965E-3</v>
      </c>
      <c r="G121" s="1">
        <v>2.75531845803319E-3</v>
      </c>
      <c r="H121" s="1">
        <f>AVERAGE(C121:G121)</f>
        <v>1.9570888556396868E-3</v>
      </c>
      <c r="I121" s="1"/>
      <c r="J121" s="1">
        <f t="shared" ref="J121:J123" si="11">MAX(C121-G121, D121-G121,E121-G121,F121-G121)</f>
        <v>7.4448833872035013E-4</v>
      </c>
      <c r="K121" s="1">
        <f>C121</f>
        <v>4.5180723342734002E-5</v>
      </c>
    </row>
    <row r="122" spans="1:12" x14ac:dyDescent="0.3">
      <c r="A122" t="s">
        <v>24</v>
      </c>
      <c r="B122" s="1">
        <v>0.68415092180172599</v>
      </c>
      <c r="C122" s="1">
        <v>0.69051738828420595</v>
      </c>
      <c r="D122" s="1">
        <v>0.69544784724712305</v>
      </c>
      <c r="E122" s="1">
        <v>0.70053614551822296</v>
      </c>
      <c r="F122" s="1">
        <v>8.73631850117817E-3</v>
      </c>
      <c r="G122" s="1">
        <v>8.8862548970306907E-3</v>
      </c>
      <c r="H122" s="1">
        <f>AVERAGE(C122:G122)</f>
        <v>0.42082479088955216</v>
      </c>
      <c r="I122" s="1"/>
      <c r="J122" s="1">
        <f t="shared" si="11"/>
        <v>0.69164989062119231</v>
      </c>
      <c r="K122" s="1">
        <f>AVERAGE(C122,D122)</f>
        <v>0.6929826177656645</v>
      </c>
    </row>
    <row r="123" spans="1:12" x14ac:dyDescent="0.3">
      <c r="A123" t="s">
        <v>25</v>
      </c>
      <c r="B123" s="1">
        <v>1.3723343806759601E-4</v>
      </c>
      <c r="C123" s="1">
        <v>1.74257158808662E-4</v>
      </c>
      <c r="D123" s="1">
        <v>2.196494826876E-4</v>
      </c>
      <c r="E123" s="1">
        <v>2.3867230221341599E-4</v>
      </c>
      <c r="F123" s="1">
        <v>0.71228647232055597</v>
      </c>
      <c r="G123" s="1">
        <v>2.9220228364768698E-3</v>
      </c>
      <c r="H123" s="1">
        <f>AVERAGE(C123:G123)</f>
        <v>0.14316821482014852</v>
      </c>
      <c r="I123" s="1"/>
      <c r="J123" s="1">
        <f t="shared" si="11"/>
        <v>0.70936444948407906</v>
      </c>
      <c r="K123" s="1">
        <f>AVERAGE(C123, D123, E123)</f>
        <v>2.1085964790322598E-4</v>
      </c>
    </row>
    <row r="124" spans="1:12" x14ac:dyDescent="0.3">
      <c r="A124" t="s">
        <v>26</v>
      </c>
      <c r="B124" s="1">
        <v>0</v>
      </c>
      <c r="C124" s="1">
        <v>0</v>
      </c>
      <c r="D124" s="1">
        <v>9.3615094859463401E-5</v>
      </c>
      <c r="E124" s="1">
        <v>3.13988650304963E-4</v>
      </c>
      <c r="F124" s="1">
        <v>1.8005384627031099E-3</v>
      </c>
      <c r="G124" s="1">
        <v>3.0225938139968302E-2</v>
      </c>
      <c r="H124" s="1">
        <f>AVERAGE(C124:G124)</f>
        <v>6.4868160695671683E-3</v>
      </c>
      <c r="I124" s="1"/>
      <c r="J124" s="1"/>
      <c r="K124" s="1">
        <f>AVERAGE(C124, D124, E124,F124)</f>
        <v>5.5203555196688407E-4</v>
      </c>
    </row>
    <row r="125" spans="1:12" x14ac:dyDescent="0.3">
      <c r="A125" t="s">
        <v>1</v>
      </c>
      <c r="B125" s="1">
        <v>0.97939328849315599</v>
      </c>
      <c r="C125" s="1">
        <v>0.98000699281692505</v>
      </c>
      <c r="D125" s="1">
        <v>0.98047578334808305</v>
      </c>
      <c r="E125" s="1">
        <v>0.98060859739780404</v>
      </c>
      <c r="F125" s="1">
        <v>0.32969892024993802</v>
      </c>
      <c r="G125" s="8">
        <v>0.74165762960910797</v>
      </c>
      <c r="L125" s="2">
        <f>(B125-G125)/B125</f>
        <v>0.24273768431659956</v>
      </c>
    </row>
    <row r="126" spans="1:12" x14ac:dyDescent="0.3">
      <c r="A126" s="4" t="s">
        <v>5</v>
      </c>
      <c r="B126" s="2"/>
      <c r="C126" s="2"/>
      <c r="D126" s="2"/>
      <c r="E126" s="2"/>
      <c r="F126" s="2"/>
      <c r="G126" s="2"/>
      <c r="H126" s="2">
        <f>AVERAGE(H120:H124)</f>
        <v>0.11475436571387979</v>
      </c>
      <c r="I126" s="2">
        <f>AVERAGE(G120:G124)</f>
        <v>9.0138830794482087E-3</v>
      </c>
      <c r="J126" s="2">
        <f>AVERAGE(J120:J123)</f>
        <v>0.35098729270619788</v>
      </c>
      <c r="K126" s="2">
        <f>AVERAGE(K120:K125)</f>
        <v>0.17344767342221934</v>
      </c>
      <c r="L126" s="5"/>
    </row>
    <row r="128" spans="1:12" x14ac:dyDescent="0.3">
      <c r="A128" s="59" t="s">
        <v>91</v>
      </c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2" ht="28.8" x14ac:dyDescent="0.3">
      <c r="B129" s="3" t="s">
        <v>0</v>
      </c>
      <c r="C129" s="3" t="s">
        <v>22</v>
      </c>
      <c r="D129" s="3" t="s">
        <v>23</v>
      </c>
      <c r="E129" s="3" t="s">
        <v>24</v>
      </c>
      <c r="F129" s="3" t="s">
        <v>25</v>
      </c>
      <c r="G129" s="3" t="s">
        <v>26</v>
      </c>
      <c r="H129" s="4" t="s">
        <v>20</v>
      </c>
      <c r="I129" s="4" t="s">
        <v>28</v>
      </c>
      <c r="J129" s="4" t="s">
        <v>21</v>
      </c>
      <c r="K129" s="4" t="s">
        <v>4</v>
      </c>
      <c r="L129" s="4" t="s">
        <v>29</v>
      </c>
    </row>
    <row r="130" spans="1:12" x14ac:dyDescent="0.3">
      <c r="A130" t="s">
        <v>22</v>
      </c>
      <c r="B130" s="1">
        <v>0</v>
      </c>
      <c r="C130" s="1">
        <v>2.2856377375622501E-3</v>
      </c>
      <c r="D130" s="1">
        <v>4.5309404644891998E-2</v>
      </c>
      <c r="E130" s="1">
        <v>2.54170298946216E-2</v>
      </c>
      <c r="F130" s="1">
        <v>1.30657175759552E-3</v>
      </c>
      <c r="G130" s="1">
        <v>3.1160020803326898E-3</v>
      </c>
      <c r="H130" s="1">
        <f>AVERAGE(C130:G130)</f>
        <v>1.5486929223000812E-2</v>
      </c>
      <c r="I130" s="1"/>
      <c r="J130" s="1">
        <f>MAX(C130-G130, D130-G130,E130-G130,F130-G130)</f>
        <v>4.2193402564559307E-2</v>
      </c>
      <c r="K130" s="1"/>
    </row>
    <row r="131" spans="1:12" x14ac:dyDescent="0.3">
      <c r="A131" t="s">
        <v>23</v>
      </c>
      <c r="B131" s="1">
        <v>0</v>
      </c>
      <c r="C131" s="1">
        <v>1.0617018706398E-3</v>
      </c>
      <c r="D131" s="1">
        <v>0.19593934753599199</v>
      </c>
      <c r="E131" s="1">
        <v>0.17857243485438301</v>
      </c>
      <c r="F131" s="1">
        <v>1.1878559380420399E-3</v>
      </c>
      <c r="G131" s="1">
        <v>3.8028702054665E-3</v>
      </c>
      <c r="H131" s="1">
        <f>AVERAGE(C131:G131)</f>
        <v>7.6112842080904658E-2</v>
      </c>
      <c r="I131" s="1"/>
      <c r="J131" s="1">
        <f t="shared" ref="J131:J133" si="12">MAX(C131-G131, D131-G131,E131-G131,F131-G131)</f>
        <v>0.1921364773305255</v>
      </c>
      <c r="K131" s="1">
        <f>C131</f>
        <v>1.0617018706398E-3</v>
      </c>
    </row>
    <row r="132" spans="1:12" x14ac:dyDescent="0.3">
      <c r="A132" t="s">
        <v>24</v>
      </c>
      <c r="B132" s="1">
        <v>0.68415092180172599</v>
      </c>
      <c r="C132" s="1">
        <v>0.69633371010422696</v>
      </c>
      <c r="D132" s="1">
        <v>0.67251027127106899</v>
      </c>
      <c r="E132" s="1">
        <v>0.71030393118659596</v>
      </c>
      <c r="F132" s="1">
        <v>5.9472986322361898E-3</v>
      </c>
      <c r="G132" s="1">
        <v>1.60757390743431E-2</v>
      </c>
      <c r="H132" s="1">
        <f>AVERAGE(C132:G132)</f>
        <v>0.42023419005369417</v>
      </c>
      <c r="I132" s="1"/>
      <c r="J132" s="1">
        <f t="shared" si="12"/>
        <v>0.69422819211225284</v>
      </c>
      <c r="K132" s="1">
        <f>AVERAGE(C132,D132)</f>
        <v>0.68442199068764797</v>
      </c>
    </row>
    <row r="133" spans="1:12" x14ac:dyDescent="0.3">
      <c r="A133" t="s">
        <v>25</v>
      </c>
      <c r="B133" s="1">
        <v>1.3723343806759601E-4</v>
      </c>
      <c r="C133" s="1">
        <v>2.1278956410242201E-4</v>
      </c>
      <c r="D133" s="1">
        <v>7.4398401617751598E-4</v>
      </c>
      <c r="E133" s="1">
        <v>4.3036153344170599E-4</v>
      </c>
      <c r="F133" s="1">
        <v>0.95147978514432896</v>
      </c>
      <c r="G133" s="1">
        <v>4.5278013470427397E-3</v>
      </c>
      <c r="H133" s="1">
        <f>AVERAGE(C133:G133)</f>
        <v>0.1914789443210187</v>
      </c>
      <c r="I133" s="1"/>
      <c r="J133" s="1">
        <f t="shared" si="12"/>
        <v>0.94695198379728618</v>
      </c>
      <c r="K133" s="1">
        <f>AVERAGE(C133, D133, E133)</f>
        <v>4.6237837124054796E-4</v>
      </c>
    </row>
    <row r="134" spans="1:12" x14ac:dyDescent="0.3">
      <c r="A134" t="s">
        <v>26</v>
      </c>
      <c r="B134" s="1">
        <v>0</v>
      </c>
      <c r="C134" s="1">
        <v>1.2951940880156999E-4</v>
      </c>
      <c r="D134" s="1">
        <v>3.5443816520758703E-2</v>
      </c>
      <c r="E134" s="1">
        <v>2.1342418593121599E-2</v>
      </c>
      <c r="F134" s="1">
        <v>1.3304077510838299E-3</v>
      </c>
      <c r="G134" s="1">
        <v>1.9228780687626498E-2</v>
      </c>
      <c r="H134" s="1">
        <f>AVERAGE(C134:G134)</f>
        <v>1.5494988592278441E-2</v>
      </c>
      <c r="I134" s="1"/>
      <c r="J134" s="1"/>
      <c r="K134" s="1">
        <f>AVERAGE(C134, D134, E134,F134)</f>
        <v>1.4561540568441425E-2</v>
      </c>
    </row>
    <row r="135" spans="1:12" x14ac:dyDescent="0.3">
      <c r="A135" t="s">
        <v>1</v>
      </c>
      <c r="B135" s="1">
        <v>0.97939328849315599</v>
      </c>
      <c r="C135" s="1">
        <v>0.98057240247726396</v>
      </c>
      <c r="D135" s="1">
        <v>0.97564092278480496</v>
      </c>
      <c r="E135" s="1">
        <v>0.98090519011020605</v>
      </c>
      <c r="F135" s="1">
        <v>0.25990254059433898</v>
      </c>
      <c r="G135" s="8">
        <v>0.33955092728137898</v>
      </c>
      <c r="L135" s="2">
        <f>(B135-G135)/B135</f>
        <v>0.65330482527219014</v>
      </c>
    </row>
    <row r="136" spans="1:12" x14ac:dyDescent="0.3">
      <c r="A136" s="4" t="s">
        <v>5</v>
      </c>
      <c r="B136" s="2"/>
      <c r="C136" s="2"/>
      <c r="D136" s="2"/>
      <c r="E136" s="2"/>
      <c r="F136" s="2"/>
      <c r="G136" s="2"/>
      <c r="H136" s="2">
        <f>AVERAGE(H130:H134)</f>
        <v>0.14376157885417934</v>
      </c>
      <c r="I136" s="2">
        <f>AVERAGE(G130:G134)</f>
        <v>9.3502386789623051E-3</v>
      </c>
      <c r="J136" s="2">
        <f>AVERAGE(J130:J133)</f>
        <v>0.46887751395115596</v>
      </c>
      <c r="K136" s="2">
        <f>AVERAGE(K130:K135)</f>
        <v>0.17512690287449242</v>
      </c>
      <c r="L136" s="5"/>
    </row>
    <row r="138" spans="1:12" x14ac:dyDescent="0.3">
      <c r="A138" s="59" t="s">
        <v>96</v>
      </c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</row>
    <row r="139" spans="1:12" ht="28.8" x14ac:dyDescent="0.3">
      <c r="B139" s="3" t="s">
        <v>0</v>
      </c>
      <c r="C139" s="3" t="s">
        <v>22</v>
      </c>
      <c r="D139" s="3" t="s">
        <v>23</v>
      </c>
      <c r="E139" s="3" t="s">
        <v>24</v>
      </c>
      <c r="F139" s="3" t="s">
        <v>25</v>
      </c>
      <c r="G139" s="3" t="s">
        <v>26</v>
      </c>
      <c r="H139" s="4" t="s">
        <v>20</v>
      </c>
      <c r="I139" s="4" t="s">
        <v>28</v>
      </c>
      <c r="J139" s="4" t="s">
        <v>21</v>
      </c>
      <c r="K139" s="4" t="s">
        <v>4</v>
      </c>
      <c r="L139" s="4" t="s">
        <v>29</v>
      </c>
    </row>
    <row r="140" spans="1:12" x14ac:dyDescent="0.3">
      <c r="A140" t="s">
        <v>22</v>
      </c>
      <c r="B140" s="1">
        <v>0</v>
      </c>
      <c r="C140" s="1">
        <v>0.20926999671307001</v>
      </c>
      <c r="D140" s="1">
        <v>0.33589785732328797</v>
      </c>
      <c r="E140" s="1">
        <v>0.267123113851994</v>
      </c>
      <c r="F140" s="1">
        <v>1.48038125917082E-3</v>
      </c>
      <c r="G140" s="1">
        <v>1.5699937800188E-6</v>
      </c>
      <c r="H140" s="1">
        <f>AVERAGE(C140:G140)</f>
        <v>0.16275458382826058</v>
      </c>
      <c r="I140" s="1"/>
      <c r="J140" s="1">
        <f>MAX(C140-G140, D140-G140,E140-G140,F140-G140)</f>
        <v>0.33589628732950794</v>
      </c>
      <c r="K140" s="1"/>
    </row>
    <row r="141" spans="1:12" x14ac:dyDescent="0.3">
      <c r="A141" t="s">
        <v>23</v>
      </c>
      <c r="B141" s="1">
        <v>0</v>
      </c>
      <c r="C141" s="1">
        <v>0.17230881432381701</v>
      </c>
      <c r="D141" s="1">
        <v>0.52740772068500497</v>
      </c>
      <c r="E141" s="1">
        <v>0.35970475276311198</v>
      </c>
      <c r="F141" s="1">
        <v>1.33470416767522E-3</v>
      </c>
      <c r="G141" s="1">
        <v>7.0936871452431606E-5</v>
      </c>
      <c r="H141" s="1">
        <f>AVERAGE(C141:G141)</f>
        <v>0.21216538576221228</v>
      </c>
      <c r="I141" s="1"/>
      <c r="J141" s="1">
        <f t="shared" ref="J141:J143" si="13">MAX(C141-G141, D141-G141,E141-G141,F141-G141)</f>
        <v>0.52733678381355253</v>
      </c>
      <c r="K141" s="1">
        <f>C141</f>
        <v>0.17230881432381701</v>
      </c>
    </row>
    <row r="142" spans="1:12" x14ac:dyDescent="0.3">
      <c r="A142" t="s">
        <v>24</v>
      </c>
      <c r="B142" s="1">
        <v>0.68415092180172599</v>
      </c>
      <c r="C142" s="1">
        <v>0.65414767091472903</v>
      </c>
      <c r="D142" s="1">
        <v>0.35261880482236502</v>
      </c>
      <c r="E142" s="1">
        <v>0.73427838583787197</v>
      </c>
      <c r="F142" s="1">
        <v>6.8186361653109302E-3</v>
      </c>
      <c r="G142" s="1">
        <v>3.08945801104224E-4</v>
      </c>
      <c r="H142" s="1">
        <f>AVERAGE(C142:G142)</f>
        <v>0.34963448870827624</v>
      </c>
      <c r="I142" s="1"/>
      <c r="J142" s="1">
        <f t="shared" si="13"/>
        <v>0.73396944003676778</v>
      </c>
      <c r="K142" s="1">
        <f>AVERAGE(C142,D142)</f>
        <v>0.503383237868547</v>
      </c>
    </row>
    <row r="143" spans="1:12" x14ac:dyDescent="0.3">
      <c r="A143" t="s">
        <v>25</v>
      </c>
      <c r="B143" s="1">
        <v>1.3723343806759601E-4</v>
      </c>
      <c r="C143" s="1">
        <v>1.0197903387355199E-3</v>
      </c>
      <c r="D143" s="1">
        <v>3.5612254153723601E-4</v>
      </c>
      <c r="E143" s="1">
        <v>4.2928767319002199E-4</v>
      </c>
      <c r="F143" s="1">
        <v>0.92139352361361104</v>
      </c>
      <c r="G143" s="1">
        <v>0.14846543533106599</v>
      </c>
      <c r="H143" s="1">
        <f>AVERAGE(C143:G143)</f>
        <v>0.21433283189962796</v>
      </c>
      <c r="I143" s="1"/>
      <c r="J143" s="1">
        <f t="shared" si="13"/>
        <v>0.77292808828254511</v>
      </c>
      <c r="K143" s="1">
        <f>AVERAGE(C143, D143, E143)</f>
        <v>6.0173351782092592E-4</v>
      </c>
    </row>
    <row r="144" spans="1:12" x14ac:dyDescent="0.3">
      <c r="A144" t="s">
        <v>26</v>
      </c>
      <c r="B144" s="1">
        <v>0</v>
      </c>
      <c r="C144" s="1">
        <v>3.9361959488208698E-2</v>
      </c>
      <c r="D144" s="1">
        <v>5.0088725362608402E-2</v>
      </c>
      <c r="E144" s="1">
        <v>2.03211398938947E-2</v>
      </c>
      <c r="F144" s="1">
        <v>1.42025560974919E-3</v>
      </c>
      <c r="G144" s="1">
        <v>2.36099836668775E-3</v>
      </c>
      <c r="H144" s="1">
        <f>AVERAGE(C144:G144)</f>
        <v>2.2710615744229747E-2</v>
      </c>
      <c r="I144" s="1"/>
      <c r="J144" s="1"/>
      <c r="K144" s="1">
        <f>AVERAGE(C144, D144, E144,F144)</f>
        <v>2.7798020088615247E-2</v>
      </c>
    </row>
    <row r="145" spans="1:12" x14ac:dyDescent="0.3">
      <c r="A145" t="s">
        <v>1</v>
      </c>
      <c r="B145" s="1">
        <v>0.97939328849315599</v>
      </c>
      <c r="C145" s="1">
        <v>0.97825267910957303</v>
      </c>
      <c r="D145" s="1">
        <v>0.97715567052364305</v>
      </c>
      <c r="E145" s="1">
        <v>0.98039683699607805</v>
      </c>
      <c r="F145" s="1">
        <v>0.260467138141393</v>
      </c>
      <c r="G145" s="1">
        <v>5.98389962688088E-2</v>
      </c>
      <c r="L145" s="2">
        <f>(B145-G145)/B145</f>
        <v>0.93890197434283618</v>
      </c>
    </row>
    <row r="146" spans="1:12" x14ac:dyDescent="0.3">
      <c r="A146" s="4" t="s">
        <v>5</v>
      </c>
      <c r="B146" s="2"/>
      <c r="C146" s="2"/>
      <c r="D146" s="2"/>
      <c r="E146" s="2"/>
      <c r="F146" s="2"/>
      <c r="G146" s="2"/>
      <c r="H146" s="2">
        <f>AVERAGE(H140:H144)</f>
        <v>0.19231958118852135</v>
      </c>
      <c r="I146" s="2">
        <f>AVERAGE(G140:G144)</f>
        <v>3.0241577272818083E-2</v>
      </c>
      <c r="J146" s="2">
        <f>AVERAGE(J140:J143)</f>
        <v>0.5925326498655934</v>
      </c>
      <c r="K146" s="2">
        <f>AVERAGE(K140:K145)</f>
        <v>0.17602295144970001</v>
      </c>
      <c r="L146" s="5"/>
    </row>
  </sheetData>
  <mergeCells count="15">
    <mergeCell ref="A108:L108"/>
    <mergeCell ref="A118:L118"/>
    <mergeCell ref="A128:L128"/>
    <mergeCell ref="A138:L138"/>
    <mergeCell ref="A1:L1"/>
    <mergeCell ref="A11:L11"/>
    <mergeCell ref="A21:L21"/>
    <mergeCell ref="A31:L31"/>
    <mergeCell ref="A41:L41"/>
    <mergeCell ref="A88:L88"/>
    <mergeCell ref="A98:L98"/>
    <mergeCell ref="A51:L51"/>
    <mergeCell ref="A58:L58"/>
    <mergeCell ref="A68:L68"/>
    <mergeCell ref="A78:L78"/>
  </mergeCells>
  <conditionalFormatting sqref="B53:D55">
    <cfRule type="cellIs" dxfId="119" priority="75" operator="between">
      <formula>0.8</formula>
      <formula>1</formula>
    </cfRule>
    <cfRule type="cellIs" dxfId="118" priority="74" operator="between">
      <formula>0.6</formula>
      <formula>0.8</formula>
    </cfRule>
    <cfRule type="cellIs" dxfId="117" priority="73" operator="between">
      <formula>0.4</formula>
      <formula>0.6</formula>
    </cfRule>
    <cfRule type="cellIs" dxfId="116" priority="72" operator="between">
      <formula>0.2</formula>
      <formula>0.4</formula>
    </cfRule>
    <cfRule type="cellIs" dxfId="115" priority="71" operator="between">
      <formula>0.1</formula>
      <formula>0.2</formula>
    </cfRule>
  </conditionalFormatting>
  <conditionalFormatting sqref="B3:G8">
    <cfRule type="cellIs" dxfId="114" priority="119" operator="between">
      <formula>0.6</formula>
      <formula>0.8</formula>
    </cfRule>
    <cfRule type="cellIs" dxfId="113" priority="118" operator="between">
      <formula>0.4</formula>
      <formula>0.6</formula>
    </cfRule>
    <cfRule type="cellIs" dxfId="112" priority="117" operator="between">
      <formula>0.2</formula>
      <formula>0.4</formula>
    </cfRule>
    <cfRule type="cellIs" dxfId="111" priority="116" operator="between">
      <formula>0.1</formula>
      <formula>0.2</formula>
    </cfRule>
    <cfRule type="cellIs" dxfId="110" priority="120" operator="between">
      <formula>0.8</formula>
      <formula>1</formula>
    </cfRule>
  </conditionalFormatting>
  <conditionalFormatting sqref="B13:G18">
    <cfRule type="cellIs" dxfId="109" priority="100" operator="between">
      <formula>0.8</formula>
      <formula>1</formula>
    </cfRule>
    <cfRule type="cellIs" dxfId="108" priority="99" operator="between">
      <formula>0.6</formula>
      <formula>0.8</formula>
    </cfRule>
    <cfRule type="cellIs" dxfId="107" priority="98" operator="between">
      <formula>0.4</formula>
      <formula>0.6</formula>
    </cfRule>
    <cfRule type="cellIs" dxfId="106" priority="97" operator="between">
      <formula>0.2</formula>
      <formula>0.4</formula>
    </cfRule>
    <cfRule type="cellIs" dxfId="105" priority="96" operator="between">
      <formula>0.1</formula>
      <formula>0.2</formula>
    </cfRule>
  </conditionalFormatting>
  <conditionalFormatting sqref="B23:G28">
    <cfRule type="cellIs" dxfId="104" priority="91" operator="between">
      <formula>0.1</formula>
      <formula>0.2</formula>
    </cfRule>
    <cfRule type="cellIs" dxfId="103" priority="95" operator="between">
      <formula>0.8</formula>
      <formula>1</formula>
    </cfRule>
    <cfRule type="cellIs" dxfId="102" priority="94" operator="between">
      <formula>0.6</formula>
      <formula>0.8</formula>
    </cfRule>
    <cfRule type="cellIs" dxfId="101" priority="93" operator="between">
      <formula>0.4</formula>
      <formula>0.6</formula>
    </cfRule>
    <cfRule type="cellIs" dxfId="100" priority="92" operator="between">
      <formula>0.2</formula>
      <formula>0.4</formula>
    </cfRule>
  </conditionalFormatting>
  <conditionalFormatting sqref="B33:G38">
    <cfRule type="cellIs" dxfId="99" priority="90" operator="between">
      <formula>0.8</formula>
      <formula>1</formula>
    </cfRule>
    <cfRule type="cellIs" dxfId="98" priority="89" operator="between">
      <formula>0.6</formula>
      <formula>0.8</formula>
    </cfRule>
    <cfRule type="cellIs" dxfId="97" priority="88" operator="between">
      <formula>0.4</formula>
      <formula>0.6</formula>
    </cfRule>
    <cfRule type="cellIs" dxfId="96" priority="87" operator="between">
      <formula>0.2</formula>
      <formula>0.4</formula>
    </cfRule>
    <cfRule type="cellIs" dxfId="95" priority="86" operator="between">
      <formula>0.1</formula>
      <formula>0.2</formula>
    </cfRule>
  </conditionalFormatting>
  <conditionalFormatting sqref="B43:G48">
    <cfRule type="cellIs" dxfId="94" priority="80" operator="between">
      <formula>0.8</formula>
      <formula>1</formula>
    </cfRule>
    <cfRule type="cellIs" dxfId="93" priority="79" operator="between">
      <formula>0.6</formula>
      <formula>0.8</formula>
    </cfRule>
    <cfRule type="cellIs" dxfId="92" priority="78" operator="between">
      <formula>0.4</formula>
      <formula>0.6</formula>
    </cfRule>
    <cfRule type="cellIs" dxfId="91" priority="77" operator="between">
      <formula>0.2</formula>
      <formula>0.4</formula>
    </cfRule>
    <cfRule type="cellIs" dxfId="90" priority="76" operator="between">
      <formula>0.1</formula>
      <formula>0.2</formula>
    </cfRule>
  </conditionalFormatting>
  <conditionalFormatting sqref="B60:G65">
    <cfRule type="cellIs" dxfId="89" priority="60" operator="between">
      <formula>0.8</formula>
      <formula>1</formula>
    </cfRule>
    <cfRule type="cellIs" dxfId="88" priority="59" operator="between">
      <formula>0.6</formula>
      <formula>0.8</formula>
    </cfRule>
    <cfRule type="cellIs" dxfId="87" priority="58" operator="between">
      <formula>0.4</formula>
      <formula>0.6</formula>
    </cfRule>
    <cfRule type="cellIs" dxfId="86" priority="57" operator="between">
      <formula>0.2</formula>
      <formula>0.4</formula>
    </cfRule>
    <cfRule type="cellIs" dxfId="85" priority="56" operator="between">
      <formula>0.1</formula>
      <formula>0.2</formula>
    </cfRule>
  </conditionalFormatting>
  <conditionalFormatting sqref="B70:G75">
    <cfRule type="cellIs" dxfId="84" priority="46" operator="between">
      <formula>0.1</formula>
      <formula>0.2</formula>
    </cfRule>
    <cfRule type="cellIs" dxfId="83" priority="47" operator="between">
      <formula>0.2</formula>
      <formula>0.4</formula>
    </cfRule>
    <cfRule type="cellIs" dxfId="82" priority="48" operator="between">
      <formula>0.4</formula>
      <formula>0.6</formula>
    </cfRule>
    <cfRule type="cellIs" dxfId="81" priority="49" operator="between">
      <formula>0.6</formula>
      <formula>0.8</formula>
    </cfRule>
    <cfRule type="cellIs" dxfId="80" priority="50" operator="between">
      <formula>0.8</formula>
      <formula>1</formula>
    </cfRule>
  </conditionalFormatting>
  <conditionalFormatting sqref="B80:G85">
    <cfRule type="cellIs" dxfId="79" priority="40" operator="between">
      <formula>0.8</formula>
      <formula>1</formula>
    </cfRule>
    <cfRule type="cellIs" dxfId="78" priority="39" operator="between">
      <formula>0.6</formula>
      <formula>0.8</formula>
    </cfRule>
    <cfRule type="cellIs" dxfId="77" priority="38" operator="between">
      <formula>0.4</formula>
      <formula>0.6</formula>
    </cfRule>
    <cfRule type="cellIs" dxfId="76" priority="37" operator="between">
      <formula>0.2</formula>
      <formula>0.4</formula>
    </cfRule>
    <cfRule type="cellIs" dxfId="75" priority="36" operator="between">
      <formula>0.1</formula>
      <formula>0.2</formula>
    </cfRule>
  </conditionalFormatting>
  <conditionalFormatting sqref="B90:G95">
    <cfRule type="cellIs" dxfId="74" priority="35" operator="between">
      <formula>0.8</formula>
      <formula>1</formula>
    </cfRule>
    <cfRule type="cellIs" dxfId="73" priority="34" operator="between">
      <formula>0.6</formula>
      <formula>0.8</formula>
    </cfRule>
    <cfRule type="cellIs" dxfId="72" priority="33" operator="between">
      <formula>0.4</formula>
      <formula>0.6</formula>
    </cfRule>
    <cfRule type="cellIs" dxfId="71" priority="32" operator="between">
      <formula>0.2</formula>
      <formula>0.4</formula>
    </cfRule>
    <cfRule type="cellIs" dxfId="70" priority="31" operator="between">
      <formula>0.1</formula>
      <formula>0.2</formula>
    </cfRule>
  </conditionalFormatting>
  <conditionalFormatting sqref="B100:G105">
    <cfRule type="cellIs" dxfId="69" priority="25" operator="between">
      <formula>0.8</formula>
      <formula>1</formula>
    </cfRule>
    <cfRule type="cellIs" dxfId="68" priority="24" operator="between">
      <formula>0.6</formula>
      <formula>0.8</formula>
    </cfRule>
    <cfRule type="cellIs" dxfId="67" priority="23" operator="between">
      <formula>0.4</formula>
      <formula>0.6</formula>
    </cfRule>
    <cfRule type="cellIs" dxfId="66" priority="22" operator="between">
      <formula>0.2</formula>
      <formula>0.4</formula>
    </cfRule>
    <cfRule type="cellIs" dxfId="65" priority="21" operator="between">
      <formula>0.1</formula>
      <formula>0.2</formula>
    </cfRule>
  </conditionalFormatting>
  <conditionalFormatting sqref="B110:G115">
    <cfRule type="cellIs" dxfId="64" priority="20" operator="between">
      <formula>0.8</formula>
      <formula>1</formula>
    </cfRule>
    <cfRule type="cellIs" dxfId="63" priority="19" operator="between">
      <formula>0.6</formula>
      <formula>0.8</formula>
    </cfRule>
    <cfRule type="cellIs" dxfId="62" priority="18" operator="between">
      <formula>0.4</formula>
      <formula>0.6</formula>
    </cfRule>
    <cfRule type="cellIs" dxfId="61" priority="17" operator="between">
      <formula>0.2</formula>
      <formula>0.4</formula>
    </cfRule>
    <cfRule type="cellIs" dxfId="60" priority="16" operator="between">
      <formula>0.1</formula>
      <formula>0.2</formula>
    </cfRule>
  </conditionalFormatting>
  <conditionalFormatting sqref="B120:G125">
    <cfRule type="cellIs" dxfId="59" priority="14" operator="between">
      <formula>0.6</formula>
      <formula>0.8</formula>
    </cfRule>
    <cfRule type="cellIs" dxfId="58" priority="13" operator="between">
      <formula>0.4</formula>
      <formula>0.6</formula>
    </cfRule>
    <cfRule type="cellIs" dxfId="57" priority="12" operator="between">
      <formula>0.2</formula>
      <formula>0.4</formula>
    </cfRule>
    <cfRule type="cellIs" dxfId="56" priority="11" operator="between">
      <formula>0.1</formula>
      <formula>0.2</formula>
    </cfRule>
    <cfRule type="cellIs" dxfId="55" priority="15" operator="between">
      <formula>0.8</formula>
      <formula>1</formula>
    </cfRule>
  </conditionalFormatting>
  <conditionalFormatting sqref="B130:G135">
    <cfRule type="cellIs" dxfId="54" priority="10" operator="between">
      <formula>0.8</formula>
      <formula>1</formula>
    </cfRule>
    <cfRule type="cellIs" dxfId="53" priority="9" operator="between">
      <formula>0.6</formula>
      <formula>0.8</formula>
    </cfRule>
    <cfRule type="cellIs" dxfId="52" priority="8" operator="between">
      <formula>0.4</formula>
      <formula>0.6</formula>
    </cfRule>
    <cfRule type="cellIs" dxfId="51" priority="7" operator="between">
      <formula>0.2</formula>
      <formula>0.4</formula>
    </cfRule>
    <cfRule type="cellIs" dxfId="50" priority="6" operator="between">
      <formula>0.1</formula>
      <formula>0.2</formula>
    </cfRule>
  </conditionalFormatting>
  <conditionalFormatting sqref="B140:G145">
    <cfRule type="cellIs" dxfId="49" priority="1" operator="between">
      <formula>0.1</formula>
      <formula>0.2</formula>
    </cfRule>
    <cfRule type="cellIs" dxfId="48" priority="5" operator="between">
      <formula>0.8</formula>
      <formula>1</formula>
    </cfRule>
    <cfRule type="cellIs" dxfId="47" priority="4" operator="between">
      <formula>0.6</formula>
      <formula>0.8</formula>
    </cfRule>
    <cfRule type="cellIs" dxfId="46" priority="3" operator="between">
      <formula>0.4</formula>
      <formula>0.6</formula>
    </cfRule>
    <cfRule type="cellIs" dxfId="45" priority="2" operator="between">
      <formula>0.2</formula>
      <formula>0.4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47BB-61EF-402B-866E-D3DDD8C310F8}">
  <dimension ref="A1:L19"/>
  <sheetViews>
    <sheetView workbookViewId="0">
      <selection activeCell="L18" sqref="L18"/>
    </sheetView>
  </sheetViews>
  <sheetFormatPr defaultRowHeight="14.4" x14ac:dyDescent="0.3"/>
  <cols>
    <col min="1" max="1" width="18.21875" style="3" bestFit="1" customWidth="1"/>
    <col min="2" max="2" width="9.44140625" bestFit="1" customWidth="1"/>
    <col min="3" max="3" width="14.6640625" bestFit="1" customWidth="1"/>
    <col min="4" max="4" width="11.33203125" bestFit="1" customWidth="1"/>
    <col min="5" max="5" width="7.6640625" bestFit="1" customWidth="1"/>
    <col min="6" max="6" width="11.33203125" bestFit="1" customWidth="1"/>
    <col min="7" max="7" width="14.6640625" bestFit="1" customWidth="1"/>
    <col min="8" max="8" width="11.88671875" bestFit="1" customWidth="1"/>
    <col min="9" max="9" width="11.88671875" customWidth="1"/>
    <col min="10" max="10" width="9.5546875" bestFit="1" customWidth="1"/>
    <col min="11" max="11" width="7.88671875" bestFit="1" customWidth="1"/>
    <col min="12" max="12" width="13.88671875" bestFit="1" customWidth="1"/>
  </cols>
  <sheetData>
    <row r="1" spans="1:12" s="6" customFormat="1" x14ac:dyDescent="0.3">
      <c r="A1" s="59" t="s">
        <v>17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s="3" customFormat="1" ht="28.8" x14ac:dyDescent="0.3">
      <c r="B2" s="3" t="s">
        <v>0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4" t="s">
        <v>20</v>
      </c>
      <c r="I2" s="4" t="s">
        <v>28</v>
      </c>
      <c r="J2" s="4" t="s">
        <v>21</v>
      </c>
      <c r="K2" s="4" t="s">
        <v>4</v>
      </c>
      <c r="L2" s="4" t="s">
        <v>29</v>
      </c>
    </row>
    <row r="3" spans="1:12" x14ac:dyDescent="0.3">
      <c r="A3" t="s">
        <v>22</v>
      </c>
      <c r="B3" s="1">
        <v>0</v>
      </c>
      <c r="C3" s="1">
        <v>0.72729728743433897</v>
      </c>
      <c r="D3" s="1">
        <v>0.33667130706210902</v>
      </c>
      <c r="E3" s="1">
        <v>0.100411866093054</v>
      </c>
      <c r="F3" s="1">
        <v>8.5222373551611399E-4</v>
      </c>
      <c r="G3" s="1">
        <v>2.9367593146162101E-2</v>
      </c>
      <c r="H3" s="1">
        <f>AVERAGE(C3:G3)</f>
        <v>0.23892005549423606</v>
      </c>
      <c r="I3" s="1"/>
      <c r="J3" s="1">
        <f>MAX(C3-G3, D3-G3,E3-G3,F3-G3)</f>
        <v>0.69792969428817686</v>
      </c>
      <c r="K3" s="1"/>
    </row>
    <row r="4" spans="1:12" x14ac:dyDescent="0.3">
      <c r="A4" t="s">
        <v>23</v>
      </c>
      <c r="B4" s="1">
        <v>0</v>
      </c>
      <c r="C4" s="1">
        <v>9.6170926568447598E-2</v>
      </c>
      <c r="D4" s="1">
        <v>0.56407285605867696</v>
      </c>
      <c r="E4" s="1">
        <v>0.117721699333439</v>
      </c>
      <c r="F4" s="1">
        <v>7.5673909062364399E-4</v>
      </c>
      <c r="G4" s="1">
        <v>1.4496510150820501E-2</v>
      </c>
      <c r="H4" s="1">
        <f>AVERAGE(C4:G4)</f>
        <v>0.15864374624040156</v>
      </c>
      <c r="I4" s="1"/>
      <c r="J4" s="1">
        <f t="shared" ref="J4:J6" si="0">MAX(C4-G4, D4-G4,E4-G4,F4-G4)</f>
        <v>0.54957634590785642</v>
      </c>
      <c r="K4" s="1">
        <f>C4</f>
        <v>9.6170926568447598E-2</v>
      </c>
    </row>
    <row r="5" spans="1:12" x14ac:dyDescent="0.3">
      <c r="A5" t="s">
        <v>24</v>
      </c>
      <c r="B5" s="1">
        <v>0.68415092180172599</v>
      </c>
      <c r="C5" s="1">
        <v>0.10538166179321699</v>
      </c>
      <c r="D5" s="1">
        <v>2.90250138884099E-2</v>
      </c>
      <c r="E5" s="1">
        <v>0.77438075343767798</v>
      </c>
      <c r="F5" s="1">
        <v>4.1141708885940398E-3</v>
      </c>
      <c r="G5" s="1">
        <v>4.0471503645373198E-3</v>
      </c>
      <c r="H5" s="1">
        <f>AVERAGE(C5:G5)</f>
        <v>0.18338975007448724</v>
      </c>
      <c r="I5" s="1"/>
      <c r="J5" s="1">
        <f t="shared" si="0"/>
        <v>0.77033360307314069</v>
      </c>
      <c r="K5" s="1">
        <f>AVERAGE(C5,D5)</f>
        <v>6.7203337840813449E-2</v>
      </c>
    </row>
    <row r="6" spans="1:12" x14ac:dyDescent="0.3">
      <c r="A6" t="s">
        <v>25</v>
      </c>
      <c r="B6" s="1">
        <v>1.3723343806759601E-4</v>
      </c>
      <c r="C6" s="1">
        <v>4.1677878099714302E-4</v>
      </c>
      <c r="D6" s="1">
        <v>4.1490462444926298E-4</v>
      </c>
      <c r="E6" s="1">
        <v>1.7041232640622099E-3</v>
      </c>
      <c r="F6" s="1">
        <v>0.99486399193604702</v>
      </c>
      <c r="G6" s="1">
        <v>5.46915450589343E-4</v>
      </c>
      <c r="H6" s="1">
        <f>AVERAGE(C6:G6)</f>
        <v>0.199589342811229</v>
      </c>
      <c r="I6" s="1"/>
      <c r="J6" s="1">
        <f t="shared" si="0"/>
        <v>0.99431707648545764</v>
      </c>
      <c r="K6" s="1">
        <f>AVERAGE(C6, D6, E6)</f>
        <v>8.452688898362053E-4</v>
      </c>
    </row>
    <row r="7" spans="1:12" x14ac:dyDescent="0.3">
      <c r="A7" t="s">
        <v>26</v>
      </c>
      <c r="B7" s="1">
        <v>0</v>
      </c>
      <c r="C7" s="1">
        <v>1.5724845051712E-2</v>
      </c>
      <c r="D7" s="1">
        <v>1.5836923305566099E-2</v>
      </c>
      <c r="E7" s="1">
        <v>1.08113494187212E-2</v>
      </c>
      <c r="F7" s="1">
        <v>9.5432375383097603E-4</v>
      </c>
      <c r="G7" s="1">
        <v>0.52516848718126596</v>
      </c>
      <c r="H7" s="1">
        <f>AVERAGE(C7:G7)</f>
        <v>0.11369918574221924</v>
      </c>
      <c r="I7" s="1"/>
      <c r="J7" s="1"/>
      <c r="K7" s="1">
        <f>AVERAGE(C7, D7, E7,F7)</f>
        <v>1.083186038245757E-2</v>
      </c>
    </row>
    <row r="8" spans="1:12" x14ac:dyDescent="0.3">
      <c r="A8" t="s">
        <v>1</v>
      </c>
      <c r="B8" s="1">
        <v>0.97939328849315599</v>
      </c>
      <c r="C8" s="1">
        <v>0.26093581691384299</v>
      </c>
      <c r="D8" s="1">
        <v>2.81597152352333E-2</v>
      </c>
      <c r="E8" s="1">
        <v>3.6393601447343799E-2</v>
      </c>
      <c r="F8" s="1">
        <v>0.24336103722453101</v>
      </c>
      <c r="G8" s="1">
        <v>0</v>
      </c>
      <c r="L8" s="2">
        <f>(B8-G8)/B8</f>
        <v>1</v>
      </c>
    </row>
    <row r="9" spans="1:12" s="5" customFormat="1" x14ac:dyDescent="0.3">
      <c r="A9" s="4" t="s">
        <v>5</v>
      </c>
      <c r="B9" s="2"/>
      <c r="C9" s="2"/>
      <c r="D9" s="2"/>
      <c r="E9" s="2"/>
      <c r="F9" s="2"/>
      <c r="G9" s="2"/>
      <c r="H9" s="2">
        <f>AVERAGE(H3:H7)</f>
        <v>0.17884841607251462</v>
      </c>
      <c r="I9" s="2">
        <f>AVERAGE(G3:G7)</f>
        <v>0.11472533125867505</v>
      </c>
      <c r="J9" s="2">
        <f>AVERAGE(J3:J6)</f>
        <v>0.75303917993865788</v>
      </c>
      <c r="K9" s="2">
        <f>AVERAGE(K3:K8)</f>
        <v>4.376284842038871E-2</v>
      </c>
    </row>
    <row r="11" spans="1:12" s="7" customFormat="1" x14ac:dyDescent="0.3">
      <c r="A11" s="60" t="s">
        <v>18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</row>
    <row r="12" spans="1:12" s="3" customFormat="1" ht="28.8" x14ac:dyDescent="0.3">
      <c r="B12" s="3" t="s">
        <v>0</v>
      </c>
      <c r="C12" s="3" t="s">
        <v>26</v>
      </c>
      <c r="D12" s="3" t="s">
        <v>25</v>
      </c>
      <c r="E12" s="3" t="s">
        <v>24</v>
      </c>
      <c r="F12" s="3" t="s">
        <v>23</v>
      </c>
      <c r="G12" s="3" t="s">
        <v>22</v>
      </c>
      <c r="H12" s="4" t="s">
        <v>20</v>
      </c>
      <c r="I12" s="4" t="s">
        <v>28</v>
      </c>
      <c r="J12" s="4" t="s">
        <v>21</v>
      </c>
      <c r="K12" s="4" t="s">
        <v>4</v>
      </c>
      <c r="L12" s="4" t="s">
        <v>29</v>
      </c>
    </row>
    <row r="13" spans="1:12" x14ac:dyDescent="0.3">
      <c r="A13" t="s">
        <v>27</v>
      </c>
      <c r="B13" s="1">
        <v>0</v>
      </c>
      <c r="C13" s="1">
        <v>0.62135159969329801</v>
      </c>
      <c r="D13" s="1">
        <v>9.2010515921477499E-4</v>
      </c>
      <c r="E13" s="1">
        <v>3.0638434977845398E-3</v>
      </c>
      <c r="F13" s="1">
        <v>1.3446824708201599E-2</v>
      </c>
      <c r="G13" s="1">
        <v>1.9443968666261399E-2</v>
      </c>
      <c r="H13" s="1">
        <f>AVERAGE(C13:G13)</f>
        <v>0.13164526834495208</v>
      </c>
      <c r="I13" s="1"/>
      <c r="J13" s="1">
        <f>MAX(C13-G13, D13-G13,E13-G13,F13-G13)</f>
        <v>0.60190763102703659</v>
      </c>
      <c r="K13" s="1"/>
    </row>
    <row r="14" spans="1:12" x14ac:dyDescent="0.3">
      <c r="A14" t="s">
        <v>25</v>
      </c>
      <c r="B14" s="1">
        <v>1.3723343806759601E-4</v>
      </c>
      <c r="C14" s="1">
        <v>2.5941336768179701E-4</v>
      </c>
      <c r="D14" s="1">
        <v>0.99479105571905702</v>
      </c>
      <c r="E14" s="1">
        <v>1.91570637980476E-3</v>
      </c>
      <c r="F14" s="1">
        <v>6.8361200707537696E-4</v>
      </c>
      <c r="G14" s="1">
        <v>5.5484144104411804E-4</v>
      </c>
      <c r="H14" s="1">
        <f>AVERAGE(C14:G14)</f>
        <v>0.1996409257829326</v>
      </c>
      <c r="I14" s="1"/>
      <c r="J14" s="1">
        <f t="shared" ref="J14:J16" si="1">MAX(C14-G14, D14-G14,E14-G14,F14-G14)</f>
        <v>0.9942362142780129</v>
      </c>
      <c r="K14" s="1">
        <f>C14</f>
        <v>2.5941336768179701E-4</v>
      </c>
    </row>
    <row r="15" spans="1:12" x14ac:dyDescent="0.3">
      <c r="A15" t="s">
        <v>24</v>
      </c>
      <c r="B15" s="1">
        <v>0.68415092180172599</v>
      </c>
      <c r="C15" s="1">
        <v>0.34974114410579199</v>
      </c>
      <c r="D15" s="1">
        <v>4.8120485153049196E-3</v>
      </c>
      <c r="E15" s="1">
        <v>0.75356615831454599</v>
      </c>
      <c r="F15" s="1">
        <v>6.1885477586959801E-2</v>
      </c>
      <c r="G15" s="1">
        <v>1.2868542664364199E-2</v>
      </c>
      <c r="H15" s="1">
        <f>AVERAGE(C15:G15)</f>
        <v>0.23657467423739337</v>
      </c>
      <c r="I15" s="1"/>
      <c r="J15" s="1">
        <f t="shared" si="1"/>
        <v>0.74069761565018177</v>
      </c>
      <c r="K15" s="1">
        <f>AVERAGE(C15,D15)</f>
        <v>0.17727659631054846</v>
      </c>
    </row>
    <row r="16" spans="1:12" x14ac:dyDescent="0.3">
      <c r="A16" t="s">
        <v>23</v>
      </c>
      <c r="B16" s="1">
        <v>0</v>
      </c>
      <c r="C16" s="1">
        <v>2.0600567199532301E-2</v>
      </c>
      <c r="D16" s="1">
        <v>7.8780414696666401E-4</v>
      </c>
      <c r="E16" s="1">
        <v>2.6534790779502701E-2</v>
      </c>
      <c r="F16" s="1">
        <v>0.28877645886192699</v>
      </c>
      <c r="G16" s="1">
        <v>0.34130223964651402</v>
      </c>
      <c r="H16" s="1">
        <f>AVERAGE(C16:G16)</f>
        <v>0.13560037212688852</v>
      </c>
      <c r="I16" s="1"/>
      <c r="J16" s="1">
        <f t="shared" si="1"/>
        <v>-5.2525780784587028E-2</v>
      </c>
      <c r="K16" s="1">
        <f>AVERAGE(C16, D16, E16)</f>
        <v>1.5974387375333889E-2</v>
      </c>
    </row>
    <row r="17" spans="1:12" x14ac:dyDescent="0.3">
      <c r="A17" t="s">
        <v>22</v>
      </c>
      <c r="B17" s="1">
        <v>0</v>
      </c>
      <c r="C17" s="1">
        <v>4.3617902435168299E-3</v>
      </c>
      <c r="D17" s="1">
        <v>9.0212679666971398E-4</v>
      </c>
      <c r="E17" s="1">
        <v>9.9365331538289504E-3</v>
      </c>
      <c r="F17" s="1">
        <v>0.26535788178443898</v>
      </c>
      <c r="G17" s="1">
        <v>0.46795145173867497</v>
      </c>
      <c r="H17" s="1">
        <f>AVERAGE(C17:G17)</f>
        <v>0.1497019567434259</v>
      </c>
      <c r="I17" s="1"/>
      <c r="J17" s="1"/>
      <c r="K17" s="1">
        <f>AVERAGE(C17, D17, E17,F17)</f>
        <v>7.013958299461362E-2</v>
      </c>
    </row>
    <row r="18" spans="1:12" x14ac:dyDescent="0.3">
      <c r="A18" t="s">
        <v>1</v>
      </c>
      <c r="B18" s="1">
        <v>0.97939328849315599</v>
      </c>
      <c r="C18" s="1">
        <v>6.8855914287269102E-2</v>
      </c>
      <c r="D18" s="1">
        <v>0.24943805485963799</v>
      </c>
      <c r="E18" s="1">
        <v>5.7191812175005899E-6</v>
      </c>
      <c r="F18" s="1">
        <v>3.9203814736765699E-6</v>
      </c>
      <c r="G18" s="1">
        <v>1.0199592797022199E-6</v>
      </c>
      <c r="L18" s="2">
        <f>(B18-G18)/B18</f>
        <v>0.99999895858048893</v>
      </c>
    </row>
    <row r="19" spans="1:12" s="5" customFormat="1" x14ac:dyDescent="0.3">
      <c r="A19" s="4" t="s">
        <v>5</v>
      </c>
      <c r="B19" s="2"/>
      <c r="C19" s="2"/>
      <c r="D19" s="2"/>
      <c r="E19" s="2"/>
      <c r="F19" s="2"/>
      <c r="G19" s="2"/>
      <c r="H19" s="2">
        <f>AVERAGE(H13:H17)</f>
        <v>0.17063263944711848</v>
      </c>
      <c r="I19" s="2">
        <f>AVERAGE(G13:G17)</f>
        <v>0.16842420883137174</v>
      </c>
      <c r="J19" s="2">
        <f>AVERAGE(J13:J16)</f>
        <v>0.57107892004266114</v>
      </c>
      <c r="K19" s="2">
        <f>AVERAGE(K13:K18)</f>
        <v>6.5912495012044436E-2</v>
      </c>
    </row>
  </sheetData>
  <mergeCells count="2">
    <mergeCell ref="A1:L1"/>
    <mergeCell ref="A11:L11"/>
  </mergeCells>
  <conditionalFormatting sqref="B3:G8">
    <cfRule type="cellIs" dxfId="44" priority="6" operator="between">
      <formula>0.1</formula>
      <formula>0.2</formula>
    </cfRule>
    <cfRule type="cellIs" dxfId="43" priority="7" operator="between">
      <formula>0.2</formula>
      <formula>0.4</formula>
    </cfRule>
    <cfRule type="cellIs" dxfId="42" priority="8" operator="between">
      <formula>0.4</formula>
      <formula>0.6</formula>
    </cfRule>
    <cfRule type="cellIs" dxfId="41" priority="9" operator="between">
      <formula>0.6</formula>
      <formula>0.8</formula>
    </cfRule>
    <cfRule type="cellIs" dxfId="40" priority="10" operator="between">
      <formula>0.8</formula>
      <formula>1</formula>
    </cfRule>
  </conditionalFormatting>
  <conditionalFormatting sqref="B13:G18">
    <cfRule type="cellIs" dxfId="39" priority="1" operator="between">
      <formula>0.1</formula>
      <formula>0.2</formula>
    </cfRule>
    <cfRule type="cellIs" dxfId="38" priority="2" operator="between">
      <formula>0.2</formula>
      <formula>0.4</formula>
    </cfRule>
    <cfRule type="cellIs" dxfId="37" priority="3" operator="between">
      <formula>0.4</formula>
      <formula>0.6</formula>
    </cfRule>
    <cfRule type="cellIs" dxfId="36" priority="4" operator="between">
      <formula>0.6</formula>
      <formula>0.8</formula>
    </cfRule>
    <cfRule type="cellIs" dxfId="35" priority="5" operator="between">
      <formula>0.8</formula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749A-5486-409B-BF6F-28D946CCB55D}">
  <dimension ref="A1:L59"/>
  <sheetViews>
    <sheetView topLeftCell="A40" workbookViewId="0">
      <selection activeCell="H59" sqref="H59:K59"/>
    </sheetView>
  </sheetViews>
  <sheetFormatPr defaultRowHeight="14.4" x14ac:dyDescent="0.3"/>
  <cols>
    <col min="1" max="1" width="18.21875" style="3" bestFit="1" customWidth="1"/>
    <col min="2" max="2" width="9.44140625" bestFit="1" customWidth="1"/>
    <col min="3" max="3" width="14.6640625" bestFit="1" customWidth="1"/>
    <col min="4" max="4" width="11.33203125" bestFit="1" customWidth="1"/>
    <col min="5" max="5" width="7.6640625" bestFit="1" customWidth="1"/>
    <col min="6" max="6" width="11.33203125" bestFit="1" customWidth="1"/>
    <col min="7" max="7" width="14.6640625" bestFit="1" customWidth="1"/>
    <col min="8" max="8" width="11.88671875" bestFit="1" customWidth="1"/>
    <col min="9" max="9" width="11.88671875" customWidth="1"/>
    <col min="10" max="10" width="9.5546875" bestFit="1" customWidth="1"/>
    <col min="11" max="11" width="7.88671875" bestFit="1" customWidth="1"/>
    <col min="12" max="12" width="13.88671875" bestFit="1" customWidth="1"/>
  </cols>
  <sheetData>
    <row r="1" spans="1:12" s="6" customFormat="1" x14ac:dyDescent="0.3">
      <c r="A1" s="59" t="s">
        <v>15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s="3" customFormat="1" ht="28.8" x14ac:dyDescent="0.3">
      <c r="B2" s="3" t="s">
        <v>0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4" t="s">
        <v>20</v>
      </c>
      <c r="I2" s="4" t="s">
        <v>28</v>
      </c>
      <c r="J2" s="4" t="s">
        <v>21</v>
      </c>
      <c r="K2" s="4" t="s">
        <v>4</v>
      </c>
      <c r="L2" s="4" t="s">
        <v>29</v>
      </c>
    </row>
    <row r="3" spans="1:12" x14ac:dyDescent="0.3">
      <c r="A3" t="s">
        <v>22</v>
      </c>
      <c r="B3" s="1">
        <v>0</v>
      </c>
      <c r="C3" s="1">
        <v>0.71198276678721095</v>
      </c>
      <c r="D3" s="1">
        <v>6.7485003625430704E-3</v>
      </c>
      <c r="E3" s="1">
        <v>2.9950332260947699E-3</v>
      </c>
      <c r="F3" s="1">
        <v>2.5970760051071301E-4</v>
      </c>
      <c r="G3" s="1">
        <v>1.9728016923181699E-5</v>
      </c>
      <c r="H3" s="1">
        <f>AVERAGE(C3:G3)</f>
        <v>0.14440114719865654</v>
      </c>
      <c r="I3" s="1"/>
      <c r="J3" s="1">
        <f>MAX(C3-G3, D3-G3,E3-G3,F3-G3)</f>
        <v>0.71196303877028777</v>
      </c>
      <c r="K3" s="1"/>
    </row>
    <row r="4" spans="1:12" x14ac:dyDescent="0.3">
      <c r="A4" t="s">
        <v>23</v>
      </c>
      <c r="B4" s="1">
        <v>0</v>
      </c>
      <c r="C4" s="1">
        <v>0</v>
      </c>
      <c r="D4" s="1">
        <v>0.80305498341719295</v>
      </c>
      <c r="E4" s="1">
        <v>4.1878988937848203E-3</v>
      </c>
      <c r="F4" s="1">
        <v>2.90629506707773E-4</v>
      </c>
      <c r="G4" s="1">
        <v>7.7470417333339904E-3</v>
      </c>
      <c r="H4" s="1">
        <f>AVERAGE(C4:G4)</f>
        <v>0.1630561107102039</v>
      </c>
      <c r="I4" s="1"/>
      <c r="J4" s="1">
        <f t="shared" ref="J4:J6" si="0">MAX(C4-G4, D4-G4,E4-G4,F4-G4)</f>
        <v>0.79530794168385899</v>
      </c>
      <c r="K4" s="1">
        <f>C4</f>
        <v>0</v>
      </c>
    </row>
    <row r="5" spans="1:12" x14ac:dyDescent="0.3">
      <c r="A5" t="s">
        <v>24</v>
      </c>
      <c r="B5" s="1">
        <v>0.68415092180172599</v>
      </c>
      <c r="C5" s="1">
        <v>1.2109769777453E-3</v>
      </c>
      <c r="D5" s="1">
        <v>2.8991367175876799E-3</v>
      </c>
      <c r="E5" s="1">
        <v>0.75205358117818799</v>
      </c>
      <c r="F5" s="1">
        <v>1.9680336117744398E-3</v>
      </c>
      <c r="G5" s="1">
        <v>3.2980117453007499E-3</v>
      </c>
      <c r="H5" s="1">
        <f>AVERAGE(C5:G5)</f>
        <v>0.15228594804611922</v>
      </c>
      <c r="I5" s="1"/>
      <c r="J5" s="1">
        <f t="shared" si="0"/>
        <v>0.74875556943288724</v>
      </c>
      <c r="K5" s="1">
        <f>AVERAGE(C5,D5)</f>
        <v>2.0550568476664899E-3</v>
      </c>
    </row>
    <row r="6" spans="1:12" x14ac:dyDescent="0.3">
      <c r="A6" t="s">
        <v>25</v>
      </c>
      <c r="B6" s="1">
        <v>1.3723343806759601E-4</v>
      </c>
      <c r="C6" s="1">
        <v>7.4695306496626703E-4</v>
      </c>
      <c r="D6" s="1">
        <v>3.0891064125171299E-4</v>
      </c>
      <c r="E6" s="1">
        <v>2.6365057371246299E-3</v>
      </c>
      <c r="F6" s="1">
        <v>0.99316304673751199</v>
      </c>
      <c r="G6" s="1">
        <v>3.3229837269270002E-4</v>
      </c>
      <c r="H6" s="1">
        <f>AVERAGE(C6:G6)</f>
        <v>0.19943754291070945</v>
      </c>
      <c r="I6" s="1"/>
      <c r="J6" s="1">
        <f t="shared" si="0"/>
        <v>0.99283074836481933</v>
      </c>
      <c r="K6" s="1">
        <f>AVERAGE(C6, D6, E6)</f>
        <v>1.2307898144475367E-3</v>
      </c>
    </row>
    <row r="7" spans="1:12" x14ac:dyDescent="0.3">
      <c r="A7" t="s">
        <v>26</v>
      </c>
      <c r="B7" s="1">
        <v>0</v>
      </c>
      <c r="C7" s="1">
        <v>0</v>
      </c>
      <c r="D7" s="1">
        <v>1.5082528185303E-2</v>
      </c>
      <c r="E7" s="1">
        <v>3.2842959941869199E-3</v>
      </c>
      <c r="F7" s="1">
        <v>5.5773046490988499E-4</v>
      </c>
      <c r="G7" s="1">
        <v>0.64066895966728499</v>
      </c>
      <c r="H7" s="1">
        <f>AVERAGE(C7:G7)</f>
        <v>0.13191870286233695</v>
      </c>
      <c r="I7" s="1"/>
      <c r="J7" s="1"/>
      <c r="K7" s="1">
        <f>AVERAGE(C7, D7, E7,F7)</f>
        <v>4.731138661099951E-3</v>
      </c>
    </row>
    <row r="8" spans="1:12" x14ac:dyDescent="0.3">
      <c r="A8" t="s">
        <v>1</v>
      </c>
      <c r="B8" s="1">
        <v>0.97939328849315599</v>
      </c>
      <c r="C8" s="1">
        <v>1.9530766876414401E-3</v>
      </c>
      <c r="D8" s="1">
        <v>1.2144021311542E-3</v>
      </c>
      <c r="E8" s="1">
        <v>5.6504820240661502E-3</v>
      </c>
      <c r="F8" s="1">
        <v>0.21682390943169499</v>
      </c>
      <c r="G8" s="1">
        <v>3.7647521821781901E-4</v>
      </c>
      <c r="L8" s="2">
        <f>(B8-G8)/B8</f>
        <v>0.99961560363682189</v>
      </c>
    </row>
    <row r="9" spans="1:12" s="5" customFormat="1" x14ac:dyDescent="0.3">
      <c r="A9" s="4" t="s">
        <v>5</v>
      </c>
      <c r="B9" s="2"/>
      <c r="C9" s="2"/>
      <c r="D9" s="2"/>
      <c r="E9" s="2"/>
      <c r="F9" s="2"/>
      <c r="G9" s="2"/>
      <c r="H9" s="2">
        <f>AVERAGE(H3:H7)</f>
        <v>0.15821989034560521</v>
      </c>
      <c r="I9" s="2">
        <f>AVERAGE(G3:G7)</f>
        <v>0.13041320790710714</v>
      </c>
      <c r="J9" s="2">
        <f>AVERAGE(J3:J6)</f>
        <v>0.81221432456296339</v>
      </c>
      <c r="K9" s="2">
        <f>AVERAGE(K3:K8)</f>
        <v>2.0042463308034943E-3</v>
      </c>
    </row>
    <row r="11" spans="1:12" s="7" customFormat="1" x14ac:dyDescent="0.3">
      <c r="A11" s="60" t="s">
        <v>16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</row>
    <row r="12" spans="1:12" s="3" customFormat="1" ht="28.8" x14ac:dyDescent="0.3">
      <c r="B12" s="3" t="s">
        <v>0</v>
      </c>
      <c r="C12" s="3" t="s">
        <v>26</v>
      </c>
      <c r="D12" s="3" t="s">
        <v>25</v>
      </c>
      <c r="E12" s="3" t="s">
        <v>24</v>
      </c>
      <c r="F12" s="3" t="s">
        <v>23</v>
      </c>
      <c r="G12" s="3" t="s">
        <v>22</v>
      </c>
      <c r="H12" s="4" t="s">
        <v>20</v>
      </c>
      <c r="I12" s="4" t="s">
        <v>28</v>
      </c>
      <c r="J12" s="4" t="s">
        <v>21</v>
      </c>
      <c r="K12" s="4" t="s">
        <v>4</v>
      </c>
      <c r="L12" s="4" t="s">
        <v>29</v>
      </c>
    </row>
    <row r="13" spans="1:12" x14ac:dyDescent="0.3">
      <c r="A13" t="s">
        <v>27</v>
      </c>
      <c r="B13" s="1">
        <v>0</v>
      </c>
      <c r="C13" s="1">
        <v>0.81417893866697899</v>
      </c>
      <c r="D13" s="1">
        <v>4.9714297044071499E-4</v>
      </c>
      <c r="E13" s="1">
        <v>1.2760448415747301E-3</v>
      </c>
      <c r="F13" s="1">
        <v>1.36730573758541E-2</v>
      </c>
      <c r="G13" s="1">
        <v>0</v>
      </c>
      <c r="H13" s="1">
        <f>AVERAGE(C13:G13)</f>
        <v>0.1659250367709697</v>
      </c>
      <c r="I13" s="1"/>
      <c r="J13" s="1">
        <f>MAX(C13-G13, D13-G13,E13-G13,F13-G13)</f>
        <v>0.81417893866697899</v>
      </c>
      <c r="K13" s="1"/>
    </row>
    <row r="14" spans="1:12" x14ac:dyDescent="0.3">
      <c r="A14" t="s">
        <v>25</v>
      </c>
      <c r="B14" s="1">
        <v>1.3723343806759601E-4</v>
      </c>
      <c r="C14" s="1">
        <v>2.08552543578358E-4</v>
      </c>
      <c r="D14" s="1">
        <v>0.99765113492806701</v>
      </c>
      <c r="E14" s="1">
        <v>2.5671098313371902E-3</v>
      </c>
      <c r="F14" s="1">
        <v>6.2096315279328896E-4</v>
      </c>
      <c r="G14" s="1">
        <v>8.7717128432510995E-4</v>
      </c>
      <c r="H14" s="1">
        <f>AVERAGE(C14:G14)</f>
        <v>0.20038498634802021</v>
      </c>
      <c r="I14" s="1"/>
      <c r="J14" s="1">
        <f t="shared" ref="J14:J16" si="1">MAX(C14-G14, D14-G14,E14-G14,F14-G14)</f>
        <v>0.99677396364374193</v>
      </c>
      <c r="K14" s="1">
        <f>C14</f>
        <v>2.08552543578358E-4</v>
      </c>
    </row>
    <row r="15" spans="1:12" x14ac:dyDescent="0.3">
      <c r="A15" t="s">
        <v>24</v>
      </c>
      <c r="B15" s="1">
        <v>0.68415092180172599</v>
      </c>
      <c r="C15" s="1">
        <v>3.1311742610947999E-3</v>
      </c>
      <c r="D15" s="1">
        <v>2.10854329634457E-3</v>
      </c>
      <c r="E15" s="1">
        <v>0.70722978065411202</v>
      </c>
      <c r="F15" s="1">
        <v>1.79215772368479E-3</v>
      </c>
      <c r="G15" s="1">
        <v>8.3606043153849896E-3</v>
      </c>
      <c r="H15" s="1">
        <f>AVERAGE(C15:G15)</f>
        <v>0.14452445205012424</v>
      </c>
      <c r="I15" s="1"/>
      <c r="J15" s="1">
        <f t="shared" si="1"/>
        <v>0.69886917633872703</v>
      </c>
      <c r="K15" s="1">
        <f>AVERAGE(C15,D15)</f>
        <v>2.6198587787196852E-3</v>
      </c>
    </row>
    <row r="16" spans="1:12" x14ac:dyDescent="0.3">
      <c r="A16" t="s">
        <v>23</v>
      </c>
      <c r="B16" s="1">
        <v>0</v>
      </c>
      <c r="C16" s="1">
        <v>1.0637120980694199E-2</v>
      </c>
      <c r="D16" s="1">
        <v>2.8337623613575999E-4</v>
      </c>
      <c r="E16" s="1">
        <v>1.26479883886077E-3</v>
      </c>
      <c r="F16" s="1">
        <v>0.66952306032180697</v>
      </c>
      <c r="G16" s="1">
        <v>1.61382048342299E-3</v>
      </c>
      <c r="H16" s="1">
        <f>AVERAGE(C16:G16)</f>
        <v>0.13666443537218415</v>
      </c>
      <c r="I16" s="1"/>
      <c r="J16" s="1">
        <f t="shared" si="1"/>
        <v>0.66790923983838402</v>
      </c>
      <c r="K16" s="1">
        <f>AVERAGE(C16, D16, E16)</f>
        <v>4.0617653518969102E-3</v>
      </c>
    </row>
    <row r="17" spans="1:12" x14ac:dyDescent="0.3">
      <c r="A17" t="s">
        <v>22</v>
      </c>
      <c r="B17" s="1">
        <v>0</v>
      </c>
      <c r="C17" s="1">
        <v>0</v>
      </c>
      <c r="D17" s="1">
        <v>2.3028760854989101E-4</v>
      </c>
      <c r="E17" s="1">
        <v>2.2172367301891401E-3</v>
      </c>
      <c r="F17" s="1">
        <v>5.63363410280241E-3</v>
      </c>
      <c r="G17" s="1">
        <v>0.66594346861044496</v>
      </c>
      <c r="H17" s="1">
        <f>AVERAGE(C17:G17)</f>
        <v>0.13480492541039729</v>
      </c>
      <c r="I17" s="1"/>
      <c r="J17" s="1"/>
      <c r="K17" s="1">
        <f>AVERAGE(C17, D17, E17,F17)</f>
        <v>2.0202896103853601E-3</v>
      </c>
    </row>
    <row r="18" spans="1:12" x14ac:dyDescent="0.3">
      <c r="A18" t="s">
        <v>1</v>
      </c>
      <c r="B18" s="1">
        <v>0.97939328849315599</v>
      </c>
      <c r="C18" s="1">
        <v>2.5325344904558701E-4</v>
      </c>
      <c r="D18" s="1">
        <v>0.26087487488985001</v>
      </c>
      <c r="E18" s="1">
        <v>2.4943193608350999E-6</v>
      </c>
      <c r="F18" s="1">
        <v>1.5121790221783699E-5</v>
      </c>
      <c r="G18" s="1">
        <v>5.3866636420707403E-5</v>
      </c>
      <c r="L18" s="2">
        <f>(B18-G18)/B18</f>
        <v>0.99994499999432962</v>
      </c>
    </row>
    <row r="19" spans="1:12" s="5" customFormat="1" x14ac:dyDescent="0.3">
      <c r="A19" s="4" t="s">
        <v>5</v>
      </c>
      <c r="B19" s="2"/>
      <c r="C19" s="2"/>
      <c r="D19" s="2"/>
      <c r="E19" s="2"/>
      <c r="F19" s="2"/>
      <c r="G19" s="2"/>
      <c r="H19" s="2">
        <f>AVERAGE(H13:H17)</f>
        <v>0.15646076719033913</v>
      </c>
      <c r="I19" s="2">
        <f>AVERAGE(G13:G17)</f>
        <v>0.13535901293871561</v>
      </c>
      <c r="J19" s="2">
        <f>AVERAGE(J13:J16)</f>
        <v>0.79443282962195805</v>
      </c>
      <c r="K19" s="2">
        <f>AVERAGE(K13:K18)</f>
        <v>2.2276165711450783E-3</v>
      </c>
    </row>
    <row r="21" spans="1:12" x14ac:dyDescent="0.3">
      <c r="A21" s="59" t="s">
        <v>82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ht="28.8" x14ac:dyDescent="0.3">
      <c r="B22" s="3" t="s">
        <v>0</v>
      </c>
      <c r="C22" s="3" t="s">
        <v>22</v>
      </c>
      <c r="D22" s="3" t="s">
        <v>23</v>
      </c>
      <c r="E22" s="3" t="s">
        <v>24</v>
      </c>
      <c r="F22" s="3" t="s">
        <v>25</v>
      </c>
      <c r="G22" s="3" t="s">
        <v>26</v>
      </c>
      <c r="H22" s="4" t="s">
        <v>20</v>
      </c>
      <c r="I22" s="4" t="s">
        <v>28</v>
      </c>
      <c r="J22" s="4" t="s">
        <v>21</v>
      </c>
      <c r="K22" s="4" t="s">
        <v>4</v>
      </c>
      <c r="L22" s="4" t="s">
        <v>29</v>
      </c>
    </row>
    <row r="23" spans="1:12" x14ac:dyDescent="0.3">
      <c r="A23" t="s">
        <v>22</v>
      </c>
      <c r="B23" s="1">
        <v>0</v>
      </c>
      <c r="C23" s="1">
        <v>0.61654931058486295</v>
      </c>
      <c r="D23" s="1">
        <v>0.46522400776545197</v>
      </c>
      <c r="E23" s="1">
        <v>0.24571208609268</v>
      </c>
      <c r="F23" s="1">
        <v>1.3583384206867701E-3</v>
      </c>
      <c r="G23" s="1">
        <v>5.9626023964180303E-6</v>
      </c>
      <c r="H23" s="1">
        <f>AVERAGE(C23:G23)</f>
        <v>0.26576994109321561</v>
      </c>
      <c r="I23" s="1"/>
      <c r="J23" s="1">
        <f>MAX(C23-G23, D23-G23,E23-G23,F23-G23)</f>
        <v>0.61654334798246657</v>
      </c>
      <c r="K23" s="1"/>
    </row>
    <row r="24" spans="1:12" x14ac:dyDescent="0.3">
      <c r="A24" t="s">
        <v>23</v>
      </c>
      <c r="B24" s="1">
        <v>0</v>
      </c>
      <c r="C24" s="1">
        <v>3.9130115571121301E-4</v>
      </c>
      <c r="D24" s="1">
        <v>0.44783632022639103</v>
      </c>
      <c r="E24" s="1">
        <v>0.186136233154684</v>
      </c>
      <c r="F24" s="1">
        <v>1.19652209347502E-3</v>
      </c>
      <c r="G24" s="1">
        <v>0</v>
      </c>
      <c r="H24" s="1">
        <f>AVERAGE(C24:G24)</f>
        <v>0.12711207532605223</v>
      </c>
      <c r="I24" s="1"/>
      <c r="J24" s="1">
        <f t="shared" ref="J24:J26" si="2">MAX(C24-G24, D24-G24,E24-G24,F24-G24)</f>
        <v>0.44783632022639103</v>
      </c>
      <c r="K24" s="1">
        <f>C24</f>
        <v>3.9130115571121301E-4</v>
      </c>
    </row>
    <row r="25" spans="1:12" x14ac:dyDescent="0.3">
      <c r="A25" t="s">
        <v>24</v>
      </c>
      <c r="B25" s="1">
        <v>0.68415092180172599</v>
      </c>
      <c r="C25" s="1">
        <v>0.47929638810455799</v>
      </c>
      <c r="D25" s="1">
        <v>0.374228922029336</v>
      </c>
      <c r="E25" s="1">
        <v>0.69859945649902</v>
      </c>
      <c r="F25" s="1">
        <v>6.0820681295202404E-3</v>
      </c>
      <c r="G25" s="1">
        <v>0</v>
      </c>
      <c r="H25" s="1">
        <f>AVERAGE(C25:G25)</f>
        <v>0.31164136695248684</v>
      </c>
      <c r="I25" s="1"/>
      <c r="J25" s="1">
        <f t="shared" si="2"/>
        <v>0.69859945649902</v>
      </c>
      <c r="K25" s="1">
        <f>AVERAGE(C25,D25)</f>
        <v>0.42676265506694699</v>
      </c>
    </row>
    <row r="26" spans="1:12" x14ac:dyDescent="0.3">
      <c r="A26" t="s">
        <v>25</v>
      </c>
      <c r="B26" s="1">
        <v>1.3723343806759601E-4</v>
      </c>
      <c r="C26" s="1">
        <v>9.9714476675671904E-9</v>
      </c>
      <c r="D26" s="1">
        <v>7.4458325608854099E-5</v>
      </c>
      <c r="E26" s="1">
        <v>1.12458287484666E-4</v>
      </c>
      <c r="F26" s="1">
        <v>0.98763266950845696</v>
      </c>
      <c r="G26" s="1">
        <v>4.00026959705239E-9</v>
      </c>
      <c r="H26" s="1">
        <f>AVERAGE(C26:G26)</f>
        <v>0.19756392001865355</v>
      </c>
      <c r="I26" s="1"/>
      <c r="J26" s="1">
        <f t="shared" si="2"/>
        <v>0.9876326655081874</v>
      </c>
      <c r="K26" s="1">
        <f>AVERAGE(C26, D26, E26)</f>
        <v>6.2308861513729225E-5</v>
      </c>
    </row>
    <row r="27" spans="1:12" x14ac:dyDescent="0.3">
      <c r="A27" t="s">
        <v>26</v>
      </c>
      <c r="B27" s="1">
        <v>0</v>
      </c>
      <c r="C27" s="1">
        <v>1.1145886674057601E-5</v>
      </c>
      <c r="D27" s="1">
        <v>6.2578074814155102E-2</v>
      </c>
      <c r="E27" s="1">
        <v>2.6410830565509899E-2</v>
      </c>
      <c r="F27" s="1">
        <v>1.27080288802972E-3</v>
      </c>
      <c r="G27" s="1">
        <v>5.9161062987792897E-5</v>
      </c>
      <c r="H27" s="1">
        <f>AVERAGE(C27:G27)</f>
        <v>1.8066003043471314E-2</v>
      </c>
      <c r="I27" s="1"/>
      <c r="J27" s="1"/>
      <c r="K27" s="1">
        <f>AVERAGE(C27, D27, E27,F27)</f>
        <v>2.2567713538592195E-2</v>
      </c>
    </row>
    <row r="28" spans="1:12" x14ac:dyDescent="0.3">
      <c r="A28" t="s">
        <v>1</v>
      </c>
      <c r="B28" s="1">
        <v>0.97939328849315599</v>
      </c>
      <c r="C28" s="1">
        <v>0.96597559750080098</v>
      </c>
      <c r="D28" s="1">
        <v>0.96611563861369998</v>
      </c>
      <c r="E28" s="1">
        <v>0.96824151277542103</v>
      </c>
      <c r="F28" s="1">
        <v>0.25419438257813398</v>
      </c>
      <c r="G28" s="1">
        <v>3.2153869256035203E-7</v>
      </c>
      <c r="L28" s="2">
        <f>(B28-G28)/B28</f>
        <v>0.99999967169604254</v>
      </c>
    </row>
    <row r="29" spans="1:12" x14ac:dyDescent="0.3">
      <c r="A29" s="4" t="s">
        <v>5</v>
      </c>
      <c r="B29" s="2"/>
      <c r="C29" s="2"/>
      <c r="D29" s="2"/>
      <c r="E29" s="2"/>
      <c r="F29" s="2"/>
      <c r="G29" s="2"/>
      <c r="H29" s="2">
        <f>AVERAGE(H23:H27)</f>
        <v>0.18403066128677589</v>
      </c>
      <c r="I29" s="2">
        <f>AVERAGE(G23:G27)</f>
        <v>1.3025533130761597E-5</v>
      </c>
      <c r="J29" s="2">
        <f>AVERAGE(J23:J26)</f>
        <v>0.68765294755401618</v>
      </c>
      <c r="K29" s="2">
        <f>AVERAGE(K23:K28)</f>
        <v>0.11244599465569104</v>
      </c>
      <c r="L29" s="5"/>
    </row>
    <row r="31" spans="1:12" x14ac:dyDescent="0.3">
      <c r="A31" s="59" t="s">
        <v>83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</row>
    <row r="32" spans="1:12" ht="28.8" x14ac:dyDescent="0.3">
      <c r="B32" s="3" t="s">
        <v>0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26</v>
      </c>
      <c r="H32" s="4" t="s">
        <v>20</v>
      </c>
      <c r="I32" s="4" t="s">
        <v>28</v>
      </c>
      <c r="J32" s="4" t="s">
        <v>21</v>
      </c>
      <c r="K32" s="4" t="s">
        <v>4</v>
      </c>
      <c r="L32" s="4" t="s">
        <v>29</v>
      </c>
    </row>
    <row r="33" spans="1:12" x14ac:dyDescent="0.3">
      <c r="A33" t="s">
        <v>22</v>
      </c>
      <c r="B33" s="1">
        <v>0</v>
      </c>
      <c r="C33" s="1">
        <v>0.76879876231153799</v>
      </c>
      <c r="D33" s="1">
        <v>0.40549413301050602</v>
      </c>
      <c r="E33" s="1">
        <v>4.86378830646572E-3</v>
      </c>
      <c r="F33" s="1">
        <v>1.2749801559645299E-3</v>
      </c>
      <c r="G33" s="1">
        <v>0</v>
      </c>
      <c r="H33" s="1">
        <f>AVERAGE(C33:G33)</f>
        <v>0.23608633275689486</v>
      </c>
      <c r="I33" s="1"/>
      <c r="J33" s="1">
        <f>MAX(C33-G33, D33-G33,E33-G33,F33-G33)</f>
        <v>0.76879876231153799</v>
      </c>
      <c r="K33" s="1"/>
    </row>
    <row r="34" spans="1:12" x14ac:dyDescent="0.3">
      <c r="A34" t="s">
        <v>23</v>
      </c>
      <c r="B34" s="1">
        <v>0</v>
      </c>
      <c r="C34" s="1">
        <v>1.013342126195E-3</v>
      </c>
      <c r="D34" s="1">
        <v>0.53427414223551695</v>
      </c>
      <c r="E34" s="1">
        <v>1.2926929749634501E-2</v>
      </c>
      <c r="F34" s="1">
        <v>1.1530049038507601E-3</v>
      </c>
      <c r="G34" s="1">
        <v>0</v>
      </c>
      <c r="H34" s="1">
        <f>AVERAGE(C34:G34)</f>
        <v>0.10987348380303943</v>
      </c>
      <c r="I34" s="1"/>
      <c r="J34" s="1">
        <f t="shared" ref="J34:J36" si="3">MAX(C34-G34, D34-G34,E34-G34,F34-G34)</f>
        <v>0.53427414223551695</v>
      </c>
      <c r="K34" s="1">
        <f>C34</f>
        <v>1.013342126195E-3</v>
      </c>
    </row>
    <row r="35" spans="1:12" x14ac:dyDescent="0.3">
      <c r="A35" t="s">
        <v>24</v>
      </c>
      <c r="B35" s="1">
        <v>0.68414774164557401</v>
      </c>
      <c r="C35" s="1">
        <v>0.11581424344331</v>
      </c>
      <c r="D35" s="1">
        <v>9.0617432259023106E-2</v>
      </c>
      <c r="E35" s="1">
        <v>0.72663069764773003</v>
      </c>
      <c r="F35" s="1">
        <v>5.7628794747870398E-3</v>
      </c>
      <c r="G35" s="1">
        <v>0</v>
      </c>
      <c r="H35" s="1">
        <f>AVERAGE(C35:G35)</f>
        <v>0.18776505056497003</v>
      </c>
      <c r="I35" s="1"/>
      <c r="J35" s="1">
        <f t="shared" si="3"/>
        <v>0.72663069764773003</v>
      </c>
      <c r="K35" s="1">
        <f>AVERAGE(C35,D35)</f>
        <v>0.10321583785116656</v>
      </c>
    </row>
    <row r="36" spans="1:12" x14ac:dyDescent="0.3">
      <c r="A36" t="s">
        <v>25</v>
      </c>
      <c r="B36" s="1">
        <v>1.3734113525742901E-4</v>
      </c>
      <c r="C36" s="1">
        <v>3.06130856368251E-6</v>
      </c>
      <c r="D36" s="1">
        <v>1.5985393401933799E-3</v>
      </c>
      <c r="E36" s="1">
        <v>2.5840531113014201E-3</v>
      </c>
      <c r="F36" s="1">
        <v>0.99654562522967605</v>
      </c>
      <c r="G36" s="1">
        <v>0</v>
      </c>
      <c r="H36" s="1">
        <f>AVERAGE(C36:G36)</f>
        <v>0.2001462557979469</v>
      </c>
      <c r="I36" s="1"/>
      <c r="J36" s="1">
        <f t="shared" si="3"/>
        <v>0.99654562522967605</v>
      </c>
      <c r="K36" s="1">
        <f>AVERAGE(C36, D36, E36)</f>
        <v>1.3952179200194942E-3</v>
      </c>
    </row>
    <row r="37" spans="1:12" x14ac:dyDescent="0.3">
      <c r="A37" t="s">
        <v>26</v>
      </c>
      <c r="B37" s="1">
        <v>0</v>
      </c>
      <c r="C37" s="1">
        <v>3.8534936805566101E-3</v>
      </c>
      <c r="D37" s="1">
        <v>2.4881765270644399E-2</v>
      </c>
      <c r="E37" s="1">
        <v>1.88923176125778E-2</v>
      </c>
      <c r="F37" s="1">
        <v>1.22737371081408E-3</v>
      </c>
      <c r="G37" s="1">
        <v>0</v>
      </c>
      <c r="H37" s="1">
        <f>AVERAGE(C37:G37)</f>
        <v>9.7709900549185769E-3</v>
      </c>
      <c r="I37" s="1"/>
      <c r="J37" s="1"/>
      <c r="K37" s="1">
        <f>AVERAGE(C37, D37, E37,F37)</f>
        <v>1.2213737568648221E-2</v>
      </c>
    </row>
    <row r="38" spans="1:12" x14ac:dyDescent="0.3">
      <c r="A38" t="s">
        <v>1</v>
      </c>
      <c r="B38" s="1">
        <v>0.97939257323741902</v>
      </c>
      <c r="C38" s="1">
        <v>0.91259923577308599</v>
      </c>
      <c r="D38" s="1">
        <v>0.77178074419498399</v>
      </c>
      <c r="E38" s="1">
        <v>0.72634856402873904</v>
      </c>
      <c r="F38" s="1">
        <v>0.24694143608212399</v>
      </c>
      <c r="G38" s="1">
        <v>0</v>
      </c>
      <c r="L38" s="2">
        <f>(B38-G38)/B38</f>
        <v>1</v>
      </c>
    </row>
    <row r="39" spans="1:12" x14ac:dyDescent="0.3">
      <c r="A39" s="4" t="s">
        <v>5</v>
      </c>
      <c r="B39" s="2"/>
      <c r="C39" s="2"/>
      <c r="D39" s="2"/>
      <c r="E39" s="2"/>
      <c r="F39" s="2"/>
      <c r="G39" s="2"/>
      <c r="H39" s="2">
        <f>AVERAGE(H33:H37)</f>
        <v>0.14872842259555394</v>
      </c>
      <c r="I39" s="2">
        <f>AVERAGE(G33:G37)</f>
        <v>0</v>
      </c>
      <c r="J39" s="2">
        <f>AVERAGE(J33:J36)</f>
        <v>0.75656230685611514</v>
      </c>
      <c r="K39" s="2">
        <f>AVERAGE(K33:K38)</f>
        <v>2.945953386650732E-2</v>
      </c>
      <c r="L39" s="5"/>
    </row>
    <row r="41" spans="1:12" x14ac:dyDescent="0.3">
      <c r="A41" s="59" t="s">
        <v>84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</row>
    <row r="42" spans="1:12" ht="28.8" x14ac:dyDescent="0.3">
      <c r="B42" s="3" t="s">
        <v>0</v>
      </c>
      <c r="C42" s="3" t="s">
        <v>22</v>
      </c>
      <c r="D42" s="3" t="s">
        <v>23</v>
      </c>
      <c r="E42" s="3" t="s">
        <v>24</v>
      </c>
      <c r="F42" s="3" t="s">
        <v>25</v>
      </c>
      <c r="G42" s="3" t="s">
        <v>26</v>
      </c>
      <c r="H42" s="4" t="s">
        <v>20</v>
      </c>
      <c r="I42" s="4" t="s">
        <v>28</v>
      </c>
      <c r="J42" s="4" t="s">
        <v>21</v>
      </c>
      <c r="K42" s="4" t="s">
        <v>4</v>
      </c>
      <c r="L42" s="4" t="s">
        <v>29</v>
      </c>
    </row>
    <row r="43" spans="1:12" x14ac:dyDescent="0.3">
      <c r="A43" t="s">
        <v>22</v>
      </c>
      <c r="B43" s="1">
        <v>0</v>
      </c>
      <c r="C43" s="1">
        <v>0.64516957725087798</v>
      </c>
      <c r="D43" s="1">
        <v>0.189640577772479</v>
      </c>
      <c r="E43" s="1">
        <v>1.9553726645729799E-3</v>
      </c>
      <c r="F43" s="1">
        <v>1.3228102834546001E-3</v>
      </c>
      <c r="G43" s="1">
        <v>0</v>
      </c>
      <c r="H43" s="1">
        <f>AVERAGE(C43:G43)</f>
        <v>0.16761766759427693</v>
      </c>
      <c r="I43" s="1"/>
      <c r="J43" s="1">
        <f>MAX(C43-G43, D43-G43,E43-G43,F43-G43)</f>
        <v>0.64516957725087798</v>
      </c>
      <c r="K43" s="1"/>
    </row>
    <row r="44" spans="1:12" x14ac:dyDescent="0.3">
      <c r="A44" t="s">
        <v>23</v>
      </c>
      <c r="B44" s="1">
        <v>0</v>
      </c>
      <c r="C44" s="1">
        <v>7.6352600105262002E-3</v>
      </c>
      <c r="D44" s="1">
        <v>0.68917800734440404</v>
      </c>
      <c r="E44" s="1">
        <v>3.3157066562428802E-3</v>
      </c>
      <c r="F44" s="1">
        <v>1.13069977426979E-3</v>
      </c>
      <c r="G44" s="1">
        <v>0</v>
      </c>
      <c r="H44" s="1">
        <f>AVERAGE(C44:G44)</f>
        <v>0.14025193475708858</v>
      </c>
      <c r="I44" s="1"/>
      <c r="J44" s="1">
        <f t="shared" ref="J44:J46" si="4">MAX(C44-G44, D44-G44,E44-G44,F44-G44)</f>
        <v>0.68917800734440404</v>
      </c>
      <c r="K44" s="1">
        <f>C44</f>
        <v>7.6352600105262002E-3</v>
      </c>
    </row>
    <row r="45" spans="1:12" x14ac:dyDescent="0.3">
      <c r="A45" t="s">
        <v>24</v>
      </c>
      <c r="B45" s="1">
        <v>0.68415092180172599</v>
      </c>
      <c r="C45" s="1">
        <v>4.8183289240114301E-2</v>
      </c>
      <c r="D45" s="1">
        <v>1.1188103719784201E-2</v>
      </c>
      <c r="E45" s="1">
        <v>0.76751923809448797</v>
      </c>
      <c r="F45" s="1">
        <v>5.3778300061821903E-3</v>
      </c>
      <c r="G45" s="1">
        <v>0</v>
      </c>
      <c r="H45" s="1">
        <f>AVERAGE(C45:G45)</f>
        <v>0.16645369221211373</v>
      </c>
      <c r="I45" s="1"/>
      <c r="J45" s="1">
        <f t="shared" si="4"/>
        <v>0.76751923809448797</v>
      </c>
      <c r="K45" s="1">
        <f>AVERAGE(C45,D45)</f>
        <v>2.9685696479949251E-2</v>
      </c>
    </row>
    <row r="46" spans="1:12" x14ac:dyDescent="0.3">
      <c r="A46" t="s">
        <v>25</v>
      </c>
      <c r="B46" s="1">
        <v>1.3723343806759601E-4</v>
      </c>
      <c r="C46" s="1">
        <v>4.4899353118428998E-4</v>
      </c>
      <c r="D46" s="1">
        <v>5.3819769376180595E-4</v>
      </c>
      <c r="E46" s="1">
        <v>1.6992838645819501E-3</v>
      </c>
      <c r="F46" s="1">
        <v>0.99618834753831198</v>
      </c>
      <c r="G46" s="1">
        <v>0</v>
      </c>
      <c r="H46" s="1">
        <f>AVERAGE(C46:G46)</f>
        <v>0.19977496452556801</v>
      </c>
      <c r="I46" s="1"/>
      <c r="J46" s="1">
        <f t="shared" si="4"/>
        <v>0.99618834753831198</v>
      </c>
      <c r="K46" s="1">
        <f>AVERAGE(C46, D46, E46)</f>
        <v>8.9549169650934878E-4</v>
      </c>
    </row>
    <row r="47" spans="1:12" x14ac:dyDescent="0.3">
      <c r="A47" t="s">
        <v>26</v>
      </c>
      <c r="B47" s="1">
        <v>0</v>
      </c>
      <c r="C47" s="1">
        <v>1.5129224630072699E-4</v>
      </c>
      <c r="D47" s="1">
        <v>1.6707110994805801E-2</v>
      </c>
      <c r="E47" s="1">
        <v>1.2578890399102701E-3</v>
      </c>
      <c r="F47" s="1">
        <v>1.2470775254769201E-3</v>
      </c>
      <c r="G47" s="1">
        <v>0</v>
      </c>
      <c r="H47" s="1">
        <f>AVERAGE(C47:G47)</f>
        <v>3.8726739612987443E-3</v>
      </c>
      <c r="I47" s="1"/>
      <c r="J47" s="1"/>
      <c r="K47" s="1">
        <f>AVERAGE(C47, D47, E47,F47)</f>
        <v>4.8408424516234302E-3</v>
      </c>
    </row>
    <row r="48" spans="1:12" x14ac:dyDescent="0.3">
      <c r="A48" t="s">
        <v>1</v>
      </c>
      <c r="B48" s="1">
        <v>0.97939328849315599</v>
      </c>
      <c r="C48" s="1">
        <v>0.61444568634033203</v>
      </c>
      <c r="D48" s="1">
        <v>5.3153912595007499E-3</v>
      </c>
      <c r="E48" s="1">
        <v>4.2877760715782601E-2</v>
      </c>
      <c r="F48" s="1">
        <v>0.247668366879224</v>
      </c>
      <c r="G48" s="1">
        <v>0</v>
      </c>
      <c r="L48" s="2">
        <f>(B48-G48)/B48</f>
        <v>1</v>
      </c>
    </row>
    <row r="49" spans="1:12" x14ac:dyDescent="0.3">
      <c r="A49" s="4" t="s">
        <v>5</v>
      </c>
      <c r="B49" s="2"/>
      <c r="C49" s="2"/>
      <c r="D49" s="2"/>
      <c r="E49" s="2"/>
      <c r="F49" s="2"/>
      <c r="G49" s="2"/>
      <c r="H49" s="2">
        <f>AVERAGE(H43:H47)</f>
        <v>0.1355941866100692</v>
      </c>
      <c r="I49" s="2">
        <f>AVERAGE(G43:G47)</f>
        <v>0</v>
      </c>
      <c r="J49" s="2">
        <f>AVERAGE(J43:J46)</f>
        <v>0.77451379255702046</v>
      </c>
      <c r="K49" s="2">
        <f>AVERAGE(K43:K48)</f>
        <v>1.0764322659652058E-2</v>
      </c>
      <c r="L49" s="5"/>
    </row>
    <row r="51" spans="1:12" x14ac:dyDescent="0.3">
      <c r="A51" s="59" t="s">
        <v>94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</row>
    <row r="52" spans="1:12" ht="28.8" x14ac:dyDescent="0.3">
      <c r="B52" s="3" t="s">
        <v>0</v>
      </c>
      <c r="C52" s="3" t="s">
        <v>22</v>
      </c>
      <c r="D52" s="3" t="s">
        <v>23</v>
      </c>
      <c r="E52" s="3" t="s">
        <v>24</v>
      </c>
      <c r="F52" s="3" t="s">
        <v>25</v>
      </c>
      <c r="G52" s="3" t="s">
        <v>26</v>
      </c>
      <c r="H52" s="4" t="s">
        <v>20</v>
      </c>
      <c r="I52" s="4" t="s">
        <v>28</v>
      </c>
      <c r="J52" s="4" t="s">
        <v>21</v>
      </c>
      <c r="K52" s="4" t="s">
        <v>4</v>
      </c>
      <c r="L52" s="4" t="s">
        <v>29</v>
      </c>
    </row>
    <row r="53" spans="1:12" x14ac:dyDescent="0.3">
      <c r="A53" t="s">
        <v>22</v>
      </c>
      <c r="B53" s="1">
        <v>0</v>
      </c>
      <c r="C53" s="1">
        <v>0.634769957512617</v>
      </c>
      <c r="D53" s="1">
        <v>4.0188278124939303E-2</v>
      </c>
      <c r="E53" s="1">
        <v>3.4211671720640801E-3</v>
      </c>
      <c r="F53" s="1">
        <v>1.4394128714532899E-3</v>
      </c>
      <c r="G53" s="1">
        <v>0</v>
      </c>
      <c r="H53" s="1">
        <f>AVERAGE(C53:G53)</f>
        <v>0.13596376313621475</v>
      </c>
      <c r="I53" s="1"/>
      <c r="J53" s="1">
        <f>MAX(C53-G53, D53-G53,E53-G53,F53-G53)</f>
        <v>0.634769957512617</v>
      </c>
      <c r="K53" s="1"/>
    </row>
    <row r="54" spans="1:12" x14ac:dyDescent="0.3">
      <c r="A54" t="s">
        <v>23</v>
      </c>
      <c r="B54" s="1">
        <v>0</v>
      </c>
      <c r="C54" s="1">
        <v>8.6041196613223195E-2</v>
      </c>
      <c r="D54" s="1">
        <v>0.54882543161511399</v>
      </c>
      <c r="E54" s="1">
        <v>4.0540190692013303E-3</v>
      </c>
      <c r="F54" s="1">
        <v>1.2674573590629699E-3</v>
      </c>
      <c r="G54" s="1">
        <v>0</v>
      </c>
      <c r="H54" s="1">
        <f>AVERAGE(C54:G54)</f>
        <v>0.12803762093132029</v>
      </c>
      <c r="I54" s="1"/>
      <c r="J54" s="1">
        <f t="shared" ref="J54:J56" si="5">MAX(C54-G54, D54-G54,E54-G54,F54-G54)</f>
        <v>0.54882543161511399</v>
      </c>
      <c r="K54" s="1">
        <f>C54</f>
        <v>8.6041196613223195E-2</v>
      </c>
    </row>
    <row r="55" spans="1:12" x14ac:dyDescent="0.3">
      <c r="A55" t="s">
        <v>24</v>
      </c>
      <c r="B55" s="1">
        <v>0.68415092180172599</v>
      </c>
      <c r="C55" s="1">
        <v>1.49156323972571E-2</v>
      </c>
      <c r="D55" s="1">
        <v>5.9818161911001201E-3</v>
      </c>
      <c r="E55" s="1">
        <v>0.52062825237711197</v>
      </c>
      <c r="F55" s="1">
        <v>6.4706265014440999E-3</v>
      </c>
      <c r="G55" s="1">
        <v>0</v>
      </c>
      <c r="H55" s="1">
        <f>AVERAGE(C55:G55)</f>
        <v>0.10959926549338266</v>
      </c>
      <c r="I55" s="1"/>
      <c r="J55" s="1">
        <f t="shared" si="5"/>
        <v>0.52062825237711197</v>
      </c>
      <c r="K55" s="1">
        <f>AVERAGE(C55,D55)</f>
        <v>1.044872429417861E-2</v>
      </c>
    </row>
    <row r="56" spans="1:12" x14ac:dyDescent="0.3">
      <c r="A56" t="s">
        <v>25</v>
      </c>
      <c r="B56" s="1">
        <v>1.3723343806759601E-4</v>
      </c>
      <c r="C56" s="1">
        <v>1.00642840213064E-3</v>
      </c>
      <c r="D56" s="1">
        <v>1.15858397596942E-3</v>
      </c>
      <c r="E56" s="1">
        <v>7.0941319184688201E-3</v>
      </c>
      <c r="F56" s="1">
        <v>0.95798398305972399</v>
      </c>
      <c r="G56" s="1">
        <v>0</v>
      </c>
      <c r="H56" s="1">
        <f>AVERAGE(C56:G56)</f>
        <v>0.19344862547125857</v>
      </c>
      <c r="I56" s="1"/>
      <c r="J56" s="1">
        <f t="shared" si="5"/>
        <v>0.95798398305972399</v>
      </c>
      <c r="K56" s="1">
        <f>AVERAGE(C56, D56, E56)</f>
        <v>3.086381432189627E-3</v>
      </c>
    </row>
    <row r="57" spans="1:12" x14ac:dyDescent="0.3">
      <c r="A57" t="s">
        <v>26</v>
      </c>
      <c r="B57" s="1">
        <v>0</v>
      </c>
      <c r="C57" s="1">
        <v>1.3371528357311001E-3</v>
      </c>
      <c r="D57" s="1">
        <v>1.2138531249244499E-2</v>
      </c>
      <c r="E57" s="1">
        <v>1.6858847609076499E-3</v>
      </c>
      <c r="F57" s="1">
        <v>1.3451482227537701E-3</v>
      </c>
      <c r="G57" s="1">
        <v>0</v>
      </c>
      <c r="H57" s="1">
        <f>AVERAGE(C57:G57)</f>
        <v>3.3013434137274039E-3</v>
      </c>
      <c r="I57" s="1"/>
      <c r="J57" s="1"/>
      <c r="K57" s="1">
        <f>AVERAGE(C57, D57, E57,F57)</f>
        <v>4.1266792671592551E-3</v>
      </c>
    </row>
    <row r="58" spans="1:12" x14ac:dyDescent="0.3">
      <c r="A58" t="s">
        <v>1</v>
      </c>
      <c r="B58" s="1">
        <v>0.97939328849315599</v>
      </c>
      <c r="C58" s="1">
        <v>1.2421998330580601E-4</v>
      </c>
      <c r="D58" s="1">
        <v>1.00705403838219E-5</v>
      </c>
      <c r="E58" s="1">
        <v>1.81511219125241E-3</v>
      </c>
      <c r="F58" s="1">
        <v>0.22803235426545099</v>
      </c>
      <c r="G58" s="1">
        <v>0</v>
      </c>
      <c r="L58" s="2">
        <f>(B58-G58)/B58</f>
        <v>1</v>
      </c>
    </row>
    <row r="59" spans="1:12" x14ac:dyDescent="0.3">
      <c r="A59" s="4" t="s">
        <v>5</v>
      </c>
      <c r="B59" s="2"/>
      <c r="C59" s="2"/>
      <c r="D59" s="2"/>
      <c r="E59" s="2"/>
      <c r="F59" s="2"/>
      <c r="G59" s="2"/>
      <c r="H59" s="2">
        <f>AVERAGE(H53:H57)</f>
        <v>0.11407012368918075</v>
      </c>
      <c r="I59" s="2">
        <f>AVERAGE(G53:G57)</f>
        <v>0</v>
      </c>
      <c r="J59" s="2">
        <f>AVERAGE(J53:J56)</f>
        <v>0.66555190614114168</v>
      </c>
      <c r="K59" s="2">
        <f>AVERAGE(K53:K58)</f>
        <v>2.5925745401687673E-2</v>
      </c>
      <c r="L59" s="5"/>
    </row>
  </sheetData>
  <mergeCells count="6">
    <mergeCell ref="A51:L51"/>
    <mergeCell ref="A1:L1"/>
    <mergeCell ref="A11:L11"/>
    <mergeCell ref="A21:L21"/>
    <mergeCell ref="A31:L31"/>
    <mergeCell ref="A41:L41"/>
  </mergeCells>
  <conditionalFormatting sqref="B3:G8">
    <cfRule type="cellIs" dxfId="34" priority="26" operator="between">
      <formula>0.1</formula>
      <formula>0.2</formula>
    </cfRule>
    <cfRule type="cellIs" dxfId="33" priority="27" operator="between">
      <formula>0.2</formula>
      <formula>0.4</formula>
    </cfRule>
    <cfRule type="cellIs" dxfId="32" priority="28" operator="between">
      <formula>0.4</formula>
      <formula>0.6</formula>
    </cfRule>
    <cfRule type="cellIs" dxfId="31" priority="29" operator="between">
      <formula>0.6</formula>
      <formula>0.8</formula>
    </cfRule>
    <cfRule type="cellIs" dxfId="30" priority="30" operator="between">
      <formula>0.8</formula>
      <formula>1</formula>
    </cfRule>
  </conditionalFormatting>
  <conditionalFormatting sqref="B13:G18">
    <cfRule type="cellIs" dxfId="29" priority="21" operator="between">
      <formula>0.1</formula>
      <formula>0.2</formula>
    </cfRule>
    <cfRule type="cellIs" dxfId="28" priority="22" operator="between">
      <formula>0.2</formula>
      <formula>0.4</formula>
    </cfRule>
    <cfRule type="cellIs" dxfId="27" priority="23" operator="between">
      <formula>0.4</formula>
      <formula>0.6</formula>
    </cfRule>
    <cfRule type="cellIs" dxfId="26" priority="24" operator="between">
      <formula>0.6</formula>
      <formula>0.8</formula>
    </cfRule>
    <cfRule type="cellIs" dxfId="25" priority="25" operator="between">
      <formula>0.8</formula>
      <formula>1</formula>
    </cfRule>
  </conditionalFormatting>
  <conditionalFormatting sqref="B23:G28">
    <cfRule type="cellIs" dxfId="24" priority="16" operator="between">
      <formula>0.1</formula>
      <formula>0.2</formula>
    </cfRule>
    <cfRule type="cellIs" dxfId="23" priority="17" operator="between">
      <formula>0.2</formula>
      <formula>0.4</formula>
    </cfRule>
    <cfRule type="cellIs" dxfId="22" priority="18" operator="between">
      <formula>0.4</formula>
      <formula>0.6</formula>
    </cfRule>
    <cfRule type="cellIs" dxfId="21" priority="19" operator="between">
      <formula>0.6</formula>
      <formula>0.8</formula>
    </cfRule>
    <cfRule type="cellIs" dxfId="20" priority="20" operator="between">
      <formula>0.8</formula>
      <formula>1</formula>
    </cfRule>
  </conditionalFormatting>
  <conditionalFormatting sqref="B33:G38">
    <cfRule type="cellIs" dxfId="19" priority="11" operator="between">
      <formula>0.1</formula>
      <formula>0.2</formula>
    </cfRule>
    <cfRule type="cellIs" dxfId="18" priority="12" operator="between">
      <formula>0.2</formula>
      <formula>0.4</formula>
    </cfRule>
    <cfRule type="cellIs" dxfId="17" priority="13" operator="between">
      <formula>0.4</formula>
      <formula>0.6</formula>
    </cfRule>
    <cfRule type="cellIs" dxfId="16" priority="14" operator="between">
      <formula>0.6</formula>
      <formula>0.8</formula>
    </cfRule>
    <cfRule type="cellIs" dxfId="15" priority="15" operator="between">
      <formula>0.8</formula>
      <formula>1</formula>
    </cfRule>
  </conditionalFormatting>
  <conditionalFormatting sqref="B43:G48">
    <cfRule type="cellIs" dxfId="14" priority="6" operator="between">
      <formula>0.1</formula>
      <formula>0.2</formula>
    </cfRule>
    <cfRule type="cellIs" dxfId="13" priority="7" operator="between">
      <formula>0.2</formula>
      <formula>0.4</formula>
    </cfRule>
    <cfRule type="cellIs" dxfId="12" priority="8" operator="between">
      <formula>0.4</formula>
      <formula>0.6</formula>
    </cfRule>
    <cfRule type="cellIs" dxfId="11" priority="9" operator="between">
      <formula>0.6</formula>
      <formula>0.8</formula>
    </cfRule>
    <cfRule type="cellIs" dxfId="10" priority="10" operator="between">
      <formula>0.8</formula>
      <formula>1</formula>
    </cfRule>
  </conditionalFormatting>
  <conditionalFormatting sqref="B53:G58">
    <cfRule type="cellIs" dxfId="9" priority="1" operator="between">
      <formula>0.1</formula>
      <formula>0.2</formula>
    </cfRule>
    <cfRule type="cellIs" dxfId="8" priority="2" operator="between">
      <formula>0.2</formula>
      <formula>0.4</formula>
    </cfRule>
    <cfRule type="cellIs" dxfId="7" priority="3" operator="between">
      <formula>0.4</formula>
      <formula>0.6</formula>
    </cfRule>
    <cfRule type="cellIs" dxfId="6" priority="4" operator="between">
      <formula>0.6</formula>
      <formula>0.8</formula>
    </cfRule>
    <cfRule type="cellIs" dxfId="5" priority="5" operator="between">
      <formula>0.8</formula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4F17-EBEA-4375-B19F-721DE920AD42}">
  <dimension ref="A1:L9"/>
  <sheetViews>
    <sheetView workbookViewId="0">
      <selection activeCell="L8" sqref="L8"/>
    </sheetView>
  </sheetViews>
  <sheetFormatPr defaultRowHeight="14.4" x14ac:dyDescent="0.3"/>
  <cols>
    <col min="1" max="1" width="18.21875" style="3" bestFit="1" customWidth="1"/>
    <col min="2" max="2" width="9.44140625" bestFit="1" customWidth="1"/>
    <col min="3" max="3" width="11.44140625" bestFit="1" customWidth="1"/>
    <col min="4" max="4" width="11.33203125" bestFit="1" customWidth="1"/>
    <col min="5" max="5" width="7.6640625" bestFit="1" customWidth="1"/>
    <col min="6" max="6" width="7.21875" bestFit="1" customWidth="1"/>
    <col min="7" max="7" width="14.6640625" bestFit="1" customWidth="1"/>
    <col min="8" max="8" width="11.88671875" bestFit="1" customWidth="1"/>
    <col min="9" max="9" width="11.88671875" customWidth="1"/>
    <col min="10" max="10" width="9.5546875" bestFit="1" customWidth="1"/>
    <col min="11" max="11" width="7.88671875" bestFit="1" customWidth="1"/>
    <col min="12" max="12" width="13.88671875" bestFit="1" customWidth="1"/>
  </cols>
  <sheetData>
    <row r="1" spans="1:12" s="6" customFormat="1" x14ac:dyDescent="0.3">
      <c r="A1" s="59" t="s">
        <v>19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s="3" customFormat="1" ht="28.8" x14ac:dyDescent="0.3">
      <c r="B2" s="3" t="s">
        <v>0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4" t="s">
        <v>20</v>
      </c>
      <c r="I2" s="4" t="s">
        <v>28</v>
      </c>
      <c r="J2" s="4" t="s">
        <v>21</v>
      </c>
      <c r="K2" s="4" t="s">
        <v>4</v>
      </c>
      <c r="L2" s="4" t="s">
        <v>29</v>
      </c>
    </row>
    <row r="3" spans="1:12" x14ac:dyDescent="0.3">
      <c r="A3" t="s">
        <v>22</v>
      </c>
      <c r="B3" s="1">
        <v>0</v>
      </c>
      <c r="C3" s="1">
        <v>0.77073293924331598</v>
      </c>
      <c r="D3" s="1">
        <v>1.9308465154608701E-2</v>
      </c>
      <c r="E3" s="1">
        <v>3.6789014125133599E-3</v>
      </c>
      <c r="F3" s="1">
        <v>3.6933789397153299E-4</v>
      </c>
      <c r="G3" s="1">
        <v>6.2419485766440597E-4</v>
      </c>
      <c r="H3" s="1">
        <f>AVERAGE(C3:G3)</f>
        <v>0.15894276771241481</v>
      </c>
      <c r="I3" s="1"/>
      <c r="J3" s="1">
        <f>MAX(C3-G3, D3-G3,E3-G3,F3-G3)</f>
        <v>0.77010874438565158</v>
      </c>
      <c r="K3" s="1"/>
    </row>
    <row r="4" spans="1:12" x14ac:dyDescent="0.3">
      <c r="A4" t="s">
        <v>23</v>
      </c>
      <c r="B4" s="1">
        <v>0</v>
      </c>
      <c r="C4" s="1">
        <v>4.5405771027314197E-2</v>
      </c>
      <c r="D4" s="1">
        <v>0.78018651405970196</v>
      </c>
      <c r="E4" s="1">
        <v>3.2933347659991302E-3</v>
      </c>
      <c r="F4" s="1">
        <v>3.1144259082793702E-4</v>
      </c>
      <c r="G4" s="1">
        <v>5.3163622894013898E-3</v>
      </c>
      <c r="H4" s="1">
        <f>AVERAGE(C4:G4)</f>
        <v>0.16690268494664892</v>
      </c>
      <c r="I4" s="1"/>
      <c r="J4" s="1">
        <f t="shared" ref="J4:J6" si="0">MAX(C4-G4, D4-G4,E4-G4,F4-G4)</f>
        <v>0.77487015177030061</v>
      </c>
      <c r="K4" s="1">
        <f>C4</f>
        <v>4.5405771027314197E-2</v>
      </c>
    </row>
    <row r="5" spans="1:12" x14ac:dyDescent="0.3">
      <c r="A5" t="s">
        <v>24</v>
      </c>
      <c r="B5" s="1">
        <v>0.68414774164557401</v>
      </c>
      <c r="C5" s="1">
        <v>1.40684988346038E-2</v>
      </c>
      <c r="D5" s="1">
        <v>2.60563419578829E-3</v>
      </c>
      <c r="E5" s="1">
        <v>0.80960200230280499</v>
      </c>
      <c r="F5" s="1">
        <v>1.7057800068869199E-3</v>
      </c>
      <c r="G5" s="1">
        <v>2.2052050493736402E-3</v>
      </c>
      <c r="H5" s="1">
        <f>AVERAGE(C5:G5)</f>
        <v>0.16603742407789152</v>
      </c>
      <c r="I5" s="1"/>
      <c r="J5" s="1">
        <f t="shared" si="0"/>
        <v>0.80739679725343139</v>
      </c>
      <c r="K5" s="1">
        <f>AVERAGE(C5,D5)</f>
        <v>8.3370665151960444E-3</v>
      </c>
    </row>
    <row r="6" spans="1:12" x14ac:dyDescent="0.3">
      <c r="A6" t="s">
        <v>25</v>
      </c>
      <c r="B6" s="1">
        <v>1.3734113525742901E-4</v>
      </c>
      <c r="C6" s="1">
        <v>3.8769214340087801E-4</v>
      </c>
      <c r="D6" s="1">
        <v>2.88593121998322E-4</v>
      </c>
      <c r="E6" s="1">
        <v>1.17950041264217E-3</v>
      </c>
      <c r="F6" s="1">
        <v>0.99647098034620196</v>
      </c>
      <c r="G6" s="1">
        <v>1.9093229372325899E-3</v>
      </c>
      <c r="H6" s="1">
        <f>AVERAGE(C6:G6)</f>
        <v>0.20004721779229517</v>
      </c>
      <c r="I6" s="1"/>
      <c r="J6" s="1">
        <f t="shared" si="0"/>
        <v>0.9945616574089694</v>
      </c>
      <c r="K6" s="1">
        <f>AVERAGE(C6, D6, E6)</f>
        <v>6.1859522601379004E-4</v>
      </c>
    </row>
    <row r="7" spans="1:12" x14ac:dyDescent="0.3">
      <c r="A7" t="s">
        <v>26</v>
      </c>
      <c r="B7" s="1">
        <v>0</v>
      </c>
      <c r="C7" s="1">
        <v>3.5146869610495402E-4</v>
      </c>
      <c r="D7" s="1">
        <v>1.19598271576251E-2</v>
      </c>
      <c r="E7" s="1">
        <v>1.3229884724144799E-3</v>
      </c>
      <c r="F7" s="1">
        <v>9.3452149182363998E-4</v>
      </c>
      <c r="G7" s="1">
        <v>0.53970647230744295</v>
      </c>
      <c r="H7" s="1">
        <f>AVERAGE(C7:G7)</f>
        <v>0.11085505562508222</v>
      </c>
      <c r="I7" s="1"/>
      <c r="J7" s="1"/>
      <c r="K7" s="1">
        <f>AVERAGE(C7, D7, E7,F7)</f>
        <v>3.6422014544920433E-3</v>
      </c>
    </row>
    <row r="8" spans="1:12" x14ac:dyDescent="0.3">
      <c r="A8" t="s">
        <v>1</v>
      </c>
      <c r="B8" s="1">
        <v>0.97939257323741902</v>
      </c>
      <c r="C8" s="1">
        <v>1.9077853175986E-4</v>
      </c>
      <c r="D8" s="1">
        <v>7.8032535384409097E-4</v>
      </c>
      <c r="E8" s="1">
        <v>6.4246441615978202E-4</v>
      </c>
      <c r="F8" s="1">
        <v>0.25329990312457001</v>
      </c>
      <c r="G8" s="1">
        <v>9.4217823516373701E-5</v>
      </c>
      <c r="L8" s="2">
        <f>(B8-G8)/B8</f>
        <v>0.99990379973660104</v>
      </c>
    </row>
    <row r="9" spans="1:12" s="5" customFormat="1" x14ac:dyDescent="0.3">
      <c r="A9" s="4" t="s">
        <v>5</v>
      </c>
      <c r="B9" s="2"/>
      <c r="C9" s="2"/>
      <c r="D9" s="2"/>
      <c r="E9" s="2"/>
      <c r="F9" s="2"/>
      <c r="G9" s="2"/>
      <c r="H9" s="2">
        <f>AVERAGE(H3:H7)</f>
        <v>0.16055703003086652</v>
      </c>
      <c r="I9" s="2">
        <f>AVERAGE(G3:G7)</f>
        <v>0.109952311488223</v>
      </c>
      <c r="J9" s="2">
        <f>AVERAGE(J3:J6)</f>
        <v>0.83673433770458827</v>
      </c>
      <c r="K9" s="2">
        <f>AVERAGE(K3:K8)</f>
        <v>1.4500908555754019E-2</v>
      </c>
    </row>
  </sheetData>
  <mergeCells count="1">
    <mergeCell ref="A1:L1"/>
  </mergeCells>
  <conditionalFormatting sqref="B3:G8">
    <cfRule type="cellIs" dxfId="4" priority="1" operator="between">
      <formula>0.1</formula>
      <formula>0.2</formula>
    </cfRule>
    <cfRule type="cellIs" dxfId="3" priority="2" operator="between">
      <formula>0.2</formula>
      <formula>0.4</formula>
    </cfRule>
    <cfRule type="cellIs" dxfId="2" priority="3" operator="between">
      <formula>0.4</formula>
      <formula>0.6</formula>
    </cfRule>
    <cfRule type="cellIs" dxfId="1" priority="4" operator="between">
      <formula>0.6</formula>
      <formula>0.8</formula>
    </cfRule>
    <cfRule type="cellIs" dxfId="0" priority="5" operator="between">
      <formula>0.8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Few-shot Analysis</vt:lpstr>
      <vt:lpstr>Extras</vt:lpstr>
      <vt:lpstr>TIL-LoRA</vt:lpstr>
      <vt:lpstr>TIL-LoRA (isolated)</vt:lpstr>
      <vt:lpstr>CIL-LoRA</vt:lpstr>
      <vt:lpstr>Prompt-based CL</vt:lpstr>
      <vt:lpstr>Fine-tuning</vt:lpstr>
      <vt:lpstr>Regularisation-based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verma</dc:creator>
  <cp:lastModifiedBy>Shashank verma</cp:lastModifiedBy>
  <dcterms:created xsi:type="dcterms:W3CDTF">2026-07-28T11:44:01Z</dcterms:created>
  <dcterms:modified xsi:type="dcterms:W3CDTF">2026-10-18T14:01:56Z</dcterms:modified>
</cp:coreProperties>
</file>