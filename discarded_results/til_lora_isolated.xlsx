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a6868b0fd06ef7/Desktop/MT_Shashank_CL/discarded_results/"/>
    </mc:Choice>
  </mc:AlternateContent>
  <xr:revisionPtr revIDLastSave="0" documentId="8_{09407CCE-A97B-4DE7-B777-F5CC70BAEE86}" xr6:coauthVersionLast="47" xr6:coauthVersionMax="47" xr10:uidLastSave="{00000000-0000-0000-0000-000000000000}"/>
  <bookViews>
    <workbookView xWindow="-108" yWindow="-108" windowWidth="23256" windowHeight="12456" xr2:uid="{59E70A4C-1E57-43D3-BE20-DB27DF967D89}"/>
  </bookViews>
  <sheets>
    <sheet name="TIL-LoRA (isolated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J3" i="1"/>
  <c r="J9" i="1" s="1"/>
  <c r="H4" i="1"/>
  <c r="J4" i="1"/>
  <c r="K4" i="1"/>
  <c r="H5" i="1"/>
  <c r="H9" i="1" s="1"/>
  <c r="J5" i="1"/>
  <c r="K5" i="1"/>
  <c r="K9" i="1" s="1"/>
  <c r="H6" i="1"/>
  <c r="J6" i="1"/>
  <c r="K6" i="1"/>
  <c r="H7" i="1"/>
  <c r="K7" i="1"/>
  <c r="L8" i="1"/>
  <c r="I9" i="1"/>
  <c r="H13" i="1"/>
  <c r="J13" i="1"/>
  <c r="H14" i="1"/>
  <c r="J14" i="1"/>
  <c r="K14" i="1"/>
  <c r="H15" i="1"/>
  <c r="J15" i="1"/>
  <c r="K15" i="1"/>
  <c r="H16" i="1"/>
  <c r="J16" i="1"/>
  <c r="K16" i="1"/>
  <c r="H17" i="1"/>
  <c r="K17" i="1"/>
  <c r="L18" i="1"/>
  <c r="H19" i="1"/>
  <c r="I19" i="1"/>
  <c r="J19" i="1"/>
  <c r="K19" i="1"/>
  <c r="H23" i="1"/>
  <c r="J23" i="1"/>
  <c r="H24" i="1"/>
  <c r="J24" i="1"/>
  <c r="K24" i="1"/>
  <c r="H25" i="1"/>
  <c r="J25" i="1"/>
  <c r="K25" i="1"/>
  <c r="H26" i="1"/>
  <c r="J26" i="1"/>
  <c r="K26" i="1"/>
  <c r="H27" i="1"/>
  <c r="K27" i="1"/>
  <c r="L28" i="1"/>
  <c r="H29" i="1"/>
  <c r="I29" i="1"/>
  <c r="J29" i="1"/>
  <c r="K29" i="1"/>
  <c r="H33" i="1"/>
  <c r="J33" i="1"/>
  <c r="H34" i="1"/>
  <c r="J34" i="1"/>
  <c r="K34" i="1"/>
  <c r="H35" i="1"/>
  <c r="J35" i="1"/>
  <c r="K35" i="1"/>
  <c r="H36" i="1"/>
  <c r="J36" i="1"/>
  <c r="K36" i="1"/>
  <c r="H37" i="1"/>
  <c r="K37" i="1"/>
  <c r="K39" i="1" s="1"/>
  <c r="L38" i="1"/>
  <c r="H39" i="1"/>
  <c r="I39" i="1"/>
  <c r="J39" i="1"/>
  <c r="H43" i="1"/>
  <c r="J43" i="1"/>
  <c r="H44" i="1"/>
  <c r="J44" i="1"/>
  <c r="K44" i="1"/>
  <c r="H45" i="1"/>
  <c r="J45" i="1"/>
  <c r="J49" i="1" s="1"/>
  <c r="K45" i="1"/>
  <c r="H46" i="1"/>
  <c r="J46" i="1"/>
  <c r="K46" i="1"/>
  <c r="H47" i="1"/>
  <c r="K47" i="1"/>
  <c r="L48" i="1"/>
  <c r="H49" i="1"/>
  <c r="I49" i="1"/>
  <c r="K49" i="1"/>
  <c r="H53" i="1"/>
  <c r="J53" i="1"/>
  <c r="H54" i="1"/>
  <c r="J54" i="1"/>
  <c r="K54" i="1"/>
  <c r="H55" i="1"/>
  <c r="J55" i="1"/>
  <c r="K55" i="1"/>
  <c r="H56" i="1"/>
  <c r="J56" i="1"/>
  <c r="K56" i="1"/>
  <c r="H57" i="1"/>
  <c r="K57" i="1"/>
  <c r="L58" i="1"/>
  <c r="H59" i="1"/>
  <c r="I59" i="1"/>
  <c r="J59" i="1"/>
  <c r="K59" i="1"/>
</calcChain>
</file>

<file path=xl/sharedStrings.xml><?xml version="1.0" encoding="utf-8"?>
<sst xmlns="http://schemas.openxmlformats.org/spreadsheetml/2006/main" count="114" uniqueCount="20">
  <si>
    <t>Average</t>
  </si>
  <si>
    <t>aeropath (Retention)</t>
  </si>
  <si>
    <t>Lateral Tibial</t>
  </si>
  <si>
    <t>Medial Tibial</t>
  </si>
  <si>
    <t>Femoral</t>
  </si>
  <si>
    <t>Patellar</t>
  </si>
  <si>
    <t>Medial Mensicus</t>
  </si>
  <si>
    <t>Final Retention Drop</t>
  </si>
  <si>
    <t>Transfer</t>
  </si>
  <si>
    <t>Final Forgetting</t>
  </si>
  <si>
    <t>Final Performance</t>
  </si>
  <si>
    <t>Average Performance</t>
  </si>
  <si>
    <t>Medial Meniscus</t>
  </si>
  <si>
    <t>Pretrained</t>
  </si>
  <si>
    <t>Task-Incremental LoRA (rank=8, Task Order=Reversed)</t>
  </si>
  <si>
    <t>Task-Incremental LoRA (rank=128, Task Order=Original)</t>
  </si>
  <si>
    <t>Task-Incremental LoRA (rank=64, Task Order=Original)</t>
  </si>
  <si>
    <t>Task-Incremental LoRA (rank=32, Task Order=Original)</t>
  </si>
  <si>
    <t>Task-Incremental LoRA (rank=16, Task Order=Original)</t>
  </si>
  <si>
    <t>Task-Incremental LoRA (rank=8, Task Order=Original)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</si>
</sst>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6C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wrapText="1"/>
    </xf>
    <xf numFmtId="164" fontId="0" fillId="0" borderId="0" xfId="0" applyNumberFormat="1"/>
    <xf numFmtId="164" fontId="0" fillId="2" borderId="0" xfId="0" applyNumberFormat="1" applyFill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</cellXfs>
  <cellStyles count="1">
    <cellStyle name="Normal" xfId="0" builtinId="0"/>
  </cellStyles>
  <dxfs count="30"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4AC5-EBD7-4BF5-A9EB-61F3EF73EB25}">
  <dimension ref="A1:L59"/>
  <sheetViews>
    <sheetView tabSelected="1" workbookViewId="0">
      <selection activeCell="D20" sqref="D20"/>
    </sheetView>
  </sheetViews>
  <sheetFormatPr defaultRowHeight="14.4" x14ac:dyDescent="0.3"/>
  <cols>
    <col min="1" max="1" width="18.33203125" style="1" bestFit="1" customWidth="1"/>
    <col min="2" max="2" width="9.44140625" bestFit="1" customWidth="1"/>
    <col min="3" max="3" width="14.6640625" bestFit="1" customWidth="1"/>
    <col min="4" max="4" width="11.33203125" bestFit="1" customWidth="1"/>
    <col min="5" max="5" width="7.6640625" bestFit="1" customWidth="1"/>
    <col min="6" max="6" width="11.33203125" bestFit="1" customWidth="1"/>
    <col min="7" max="7" width="14.6640625" bestFit="1" customWidth="1"/>
    <col min="8" max="8" width="11.88671875" bestFit="1" customWidth="1"/>
    <col min="9" max="9" width="11.88671875" customWidth="1"/>
    <col min="10" max="10" width="9.5546875" bestFit="1" customWidth="1"/>
    <col min="11" max="11" width="7.88671875" bestFit="1" customWidth="1"/>
    <col min="12" max="12" width="13.88671875" bestFit="1" customWidth="1"/>
  </cols>
  <sheetData>
    <row r="1" spans="1:12" s="10" customFormat="1" x14ac:dyDescent="0.3">
      <c r="A1" s="9" t="s">
        <v>19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s="1" customFormat="1" ht="28.8" x14ac:dyDescent="0.3">
      <c r="B2" s="1" t="s">
        <v>13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12</v>
      </c>
      <c r="H2" s="4" t="s">
        <v>11</v>
      </c>
      <c r="I2" s="4" t="s">
        <v>10</v>
      </c>
      <c r="J2" s="4" t="s">
        <v>9</v>
      </c>
      <c r="K2" s="4" t="s">
        <v>8</v>
      </c>
      <c r="L2" s="4" t="s">
        <v>7</v>
      </c>
    </row>
    <row r="3" spans="1:12" x14ac:dyDescent="0.3">
      <c r="A3" t="s">
        <v>2</v>
      </c>
      <c r="B3" s="5">
        <v>0</v>
      </c>
      <c r="C3" s="5">
        <v>0.523455834637085</v>
      </c>
      <c r="D3" s="5">
        <v>9.0168493733168903E-2</v>
      </c>
      <c r="E3" s="5">
        <v>4.2849942595542701E-4</v>
      </c>
      <c r="F3" s="5">
        <v>1.3767831284591601E-3</v>
      </c>
      <c r="G3" s="5">
        <v>1.9646728809069201E-3</v>
      </c>
      <c r="H3" s="5">
        <f>AVERAGE(C3:G3)</f>
        <v>0.1234788567611151</v>
      </c>
      <c r="I3" s="5"/>
      <c r="J3" s="5">
        <f>MAX(C3-G3, D3-G3,E3-G3,F3-G3)</f>
        <v>0.52149116175617805</v>
      </c>
      <c r="K3" s="5"/>
    </row>
    <row r="4" spans="1:12" x14ac:dyDescent="0.3">
      <c r="A4" t="s">
        <v>3</v>
      </c>
      <c r="B4" s="5">
        <v>0</v>
      </c>
      <c r="C4" s="5">
        <v>0.261042675895926</v>
      </c>
      <c r="D4" s="5">
        <v>0.51553716758886903</v>
      </c>
      <c r="E4" s="5">
        <v>1.0220204255043999E-3</v>
      </c>
      <c r="F4" s="5">
        <v>1.2113191987737E-3</v>
      </c>
      <c r="G4" s="5">
        <v>9.2947449826169704E-2</v>
      </c>
      <c r="H4" s="5">
        <f>AVERAGE(C4:G4)</f>
        <v>0.17435212658704854</v>
      </c>
      <c r="I4" s="5"/>
      <c r="J4" s="5">
        <f>MAX(C4-G4, D4-G4,E4-G4,F4-G4)</f>
        <v>0.42258971776269932</v>
      </c>
      <c r="K4" s="5">
        <f>C4</f>
        <v>0.261042675895926</v>
      </c>
    </row>
    <row r="5" spans="1:12" x14ac:dyDescent="0.3">
      <c r="A5" t="s">
        <v>4</v>
      </c>
      <c r="B5" s="5">
        <v>0.68415092180172599</v>
      </c>
      <c r="C5" s="5">
        <v>0.59784298017620996</v>
      </c>
      <c r="D5" s="5">
        <v>0.48801220084230101</v>
      </c>
      <c r="E5" s="5">
        <v>0.74792718887329102</v>
      </c>
      <c r="F5" s="6">
        <v>6.1918499898941503E-3</v>
      </c>
      <c r="G5" s="5">
        <v>0.61941899483402496</v>
      </c>
      <c r="H5" s="5">
        <f>AVERAGE(C5:G5)</f>
        <v>0.49187864294314421</v>
      </c>
      <c r="I5" s="5"/>
      <c r="J5" s="5">
        <f>MAX(C5-G5, D5-G5,E5-G5,F5-G5)</f>
        <v>0.12850819403926605</v>
      </c>
      <c r="K5" s="5">
        <f>AVERAGE(C5,D5)</f>
        <v>0.54292759050925543</v>
      </c>
    </row>
    <row r="6" spans="1:12" x14ac:dyDescent="0.3">
      <c r="A6" t="s">
        <v>5</v>
      </c>
      <c r="B6" s="5">
        <v>1.3723343806759601E-4</v>
      </c>
      <c r="C6" s="5">
        <v>4.5324461340593699E-4</v>
      </c>
      <c r="D6" s="5">
        <v>3.96658207440244E-4</v>
      </c>
      <c r="E6" s="5">
        <v>2.8502551883017598E-4</v>
      </c>
      <c r="F6" s="5">
        <v>0.98011014362176196</v>
      </c>
      <c r="G6" s="5">
        <v>2.4178526223295099E-4</v>
      </c>
      <c r="H6" s="5">
        <f>AVERAGE(C6:G6)</f>
        <v>0.19629737144473425</v>
      </c>
      <c r="I6" s="5"/>
      <c r="J6" s="5">
        <f>MAX(C6-G6, D6-G6,E6-G6,F6-G6)</f>
        <v>0.97986835835952901</v>
      </c>
      <c r="K6" s="5">
        <f>AVERAGE(C6, D6, E6)</f>
        <v>3.7830944655878568E-4</v>
      </c>
    </row>
    <row r="7" spans="1:12" x14ac:dyDescent="0.3">
      <c r="A7" t="s">
        <v>12</v>
      </c>
      <c r="B7" s="5">
        <v>0</v>
      </c>
      <c r="C7" s="5">
        <v>2.90245968329448E-2</v>
      </c>
      <c r="D7" s="5">
        <v>7.7023197733069496E-2</v>
      </c>
      <c r="E7" s="5">
        <v>2.5800891065349098E-4</v>
      </c>
      <c r="F7" s="5">
        <v>1.2870723755137601E-3</v>
      </c>
      <c r="G7" s="5">
        <v>0.52579400564233403</v>
      </c>
      <c r="H7" s="5">
        <f>AVERAGE(C7:G7)</f>
        <v>0.12667737629890313</v>
      </c>
      <c r="I7" s="5"/>
      <c r="J7" s="5"/>
      <c r="K7" s="5">
        <f>AVERAGE(C7, D7, E7,F7)</f>
        <v>2.6898218963045385E-2</v>
      </c>
    </row>
    <row r="8" spans="1:12" x14ac:dyDescent="0.3">
      <c r="A8" t="s">
        <v>1</v>
      </c>
      <c r="B8" s="5">
        <v>0.97939328849315599</v>
      </c>
      <c r="C8" s="5">
        <v>0.92529293894767695</v>
      </c>
      <c r="D8" s="5">
        <v>0.89903244376182501</v>
      </c>
      <c r="E8" s="5">
        <v>0.98004582524299599</v>
      </c>
      <c r="F8" s="5">
        <v>0.22938907518982801</v>
      </c>
      <c r="G8" s="5">
        <v>0.91503664851188604</v>
      </c>
      <c r="L8" s="3">
        <f>AVERAGE(B8-G8)</f>
        <v>6.4356639981269947E-2</v>
      </c>
    </row>
    <row r="9" spans="1:12" s="2" customFormat="1" x14ac:dyDescent="0.3">
      <c r="A9" s="4" t="s">
        <v>0</v>
      </c>
      <c r="B9" s="3"/>
      <c r="C9" s="3"/>
      <c r="D9" s="3"/>
      <c r="E9" s="3"/>
      <c r="F9" s="3"/>
      <c r="G9" s="3"/>
      <c r="H9" s="3">
        <f>AVERAGE(H3:H7)</f>
        <v>0.22253687480698905</v>
      </c>
      <c r="I9" s="3">
        <f>AVERAGE(G3:G7)</f>
        <v>0.2480733816891337</v>
      </c>
      <c r="J9" s="3">
        <f>AVERAGE(J3:J6)</f>
        <v>0.51311435797941807</v>
      </c>
      <c r="K9" s="3">
        <f>AVERAGE(K3:K8)</f>
        <v>0.2078116987036964</v>
      </c>
    </row>
    <row r="11" spans="1:12" s="2" customFormat="1" x14ac:dyDescent="0.3">
      <c r="A11" s="9" t="s">
        <v>18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s="1" customFormat="1" ht="28.8" x14ac:dyDescent="0.3">
      <c r="B12" s="1" t="s">
        <v>13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12</v>
      </c>
      <c r="H12" s="4" t="s">
        <v>11</v>
      </c>
      <c r="I12" s="4" t="s">
        <v>10</v>
      </c>
      <c r="J12" s="4" t="s">
        <v>9</v>
      </c>
      <c r="K12" s="4" t="s">
        <v>8</v>
      </c>
      <c r="L12" s="4" t="s">
        <v>7</v>
      </c>
    </row>
    <row r="13" spans="1:12" x14ac:dyDescent="0.3">
      <c r="A13" t="s">
        <v>2</v>
      </c>
      <c r="B13" s="5">
        <v>0</v>
      </c>
      <c r="C13" s="5">
        <v>0.309480436223869</v>
      </c>
      <c r="D13" s="5">
        <v>6.2733083511072096E-2</v>
      </c>
      <c r="E13" s="5">
        <v>6.3258360508674095E-4</v>
      </c>
      <c r="F13" s="5">
        <v>1.38256622449262E-3</v>
      </c>
      <c r="G13" s="5">
        <v>6.0585635559012403E-3</v>
      </c>
      <c r="H13" s="5">
        <f>AVERAGE(C13:G13)</f>
        <v>7.6057446624084341E-2</v>
      </c>
      <c r="I13" s="5"/>
      <c r="J13" s="5">
        <f>MAX(C13-G13, D13-G13,E13-G13,F13-G13)</f>
        <v>0.30342187266796777</v>
      </c>
      <c r="K13" s="5"/>
    </row>
    <row r="14" spans="1:12" x14ac:dyDescent="0.3">
      <c r="A14" t="s">
        <v>3</v>
      </c>
      <c r="B14" s="5">
        <v>0</v>
      </c>
      <c r="C14" s="5">
        <v>0.21145656107303901</v>
      </c>
      <c r="D14" s="5">
        <v>0.48438543950517898</v>
      </c>
      <c r="E14" s="5">
        <v>3.3174922555190202E-4</v>
      </c>
      <c r="F14" s="5">
        <v>1.21699413284659E-3</v>
      </c>
      <c r="G14" s="5">
        <v>0.127184058132115</v>
      </c>
      <c r="H14" s="5">
        <f>AVERAGE(C14:G14)</f>
        <v>0.16491496041374629</v>
      </c>
      <c r="I14" s="5"/>
      <c r="J14" s="5">
        <f>MAX(C14-G14, D14-G14,E14-G14,F14-G14)</f>
        <v>0.35720138137306401</v>
      </c>
      <c r="K14" s="5">
        <f>C14</f>
        <v>0.21145656107303901</v>
      </c>
    </row>
    <row r="15" spans="1:12" x14ac:dyDescent="0.3">
      <c r="A15" t="s">
        <v>4</v>
      </c>
      <c r="B15" s="5">
        <v>0.68414774164557401</v>
      </c>
      <c r="C15" s="5">
        <v>0.65008285144964795</v>
      </c>
      <c r="D15" s="5">
        <v>0.54908286469678003</v>
      </c>
      <c r="E15" s="5">
        <v>0.73734547197818701</v>
      </c>
      <c r="F15" s="6">
        <v>6.22832366692212E-3</v>
      </c>
      <c r="G15" s="5">
        <v>0.67159034311771304</v>
      </c>
      <c r="H15" s="5">
        <f>AVERAGE(C15:G15)</f>
        <v>0.52286597098184995</v>
      </c>
      <c r="I15" s="5"/>
      <c r="J15" s="5">
        <f>MAX(C15-G15, D15-G15,E15-G15,F15-G15)</f>
        <v>6.5755128860473966E-2</v>
      </c>
      <c r="K15" s="5">
        <f>AVERAGE(C15,D15)</f>
        <v>0.59958285807321399</v>
      </c>
    </row>
    <row r="16" spans="1:12" x14ac:dyDescent="0.3">
      <c r="A16" t="s">
        <v>5</v>
      </c>
      <c r="B16" s="5">
        <v>1.3734113525742901E-4</v>
      </c>
      <c r="C16" s="5">
        <v>9.0833478134299997E-4</v>
      </c>
      <c r="D16" s="5">
        <v>4.4239243470656198E-4</v>
      </c>
      <c r="E16" s="5">
        <v>2.87870376458461E-4</v>
      </c>
      <c r="F16" s="5">
        <v>0.97618492692708903</v>
      </c>
      <c r="G16" s="5">
        <v>3.5645910626650801E-4</v>
      </c>
      <c r="H16" s="5">
        <f>AVERAGE(C16:G16)</f>
        <v>0.19563599672517271</v>
      </c>
      <c r="I16" s="5"/>
      <c r="J16" s="5">
        <f>MAX(C16-G16, D16-G16,E16-G16,F16-G16)</f>
        <v>0.97582846782082255</v>
      </c>
      <c r="K16" s="5">
        <f>AVERAGE(C16, D16, E16)</f>
        <v>5.461991975026743E-4</v>
      </c>
    </row>
    <row r="17" spans="1:12" x14ac:dyDescent="0.3">
      <c r="A17" t="s">
        <v>12</v>
      </c>
      <c r="B17" s="5">
        <v>0</v>
      </c>
      <c r="C17" s="5">
        <v>4.1772178316023201E-2</v>
      </c>
      <c r="D17" s="5">
        <v>6.2139134189540798E-2</v>
      </c>
      <c r="E17" s="5">
        <v>4.4007857407753599E-4</v>
      </c>
      <c r="F17" s="5">
        <v>1.29249074719458E-3</v>
      </c>
      <c r="G17" s="5">
        <v>0.45818797374765002</v>
      </c>
      <c r="H17" s="5">
        <f>AVERAGE(C17:G17)</f>
        <v>0.11276637111489722</v>
      </c>
      <c r="I17" s="5"/>
      <c r="J17" s="5"/>
      <c r="K17" s="5">
        <f>AVERAGE(C17, D17, E17,F17)</f>
        <v>2.6410970456709027E-2</v>
      </c>
    </row>
    <row r="18" spans="1:12" x14ac:dyDescent="0.3">
      <c r="A18" t="s">
        <v>1</v>
      </c>
      <c r="B18" s="5">
        <v>0.97939257323741902</v>
      </c>
      <c r="C18" s="5">
        <v>0.97989982366561801</v>
      </c>
      <c r="D18" s="5">
        <v>0.96813349425792605</v>
      </c>
      <c r="E18" s="5">
        <v>0.98037098348140705</v>
      </c>
      <c r="F18" s="5">
        <v>0.22568856552243199</v>
      </c>
      <c r="G18" s="5">
        <v>0.97641868889331795</v>
      </c>
      <c r="L18" s="3">
        <f>AVERAGE(B18-G18)</f>
        <v>2.9738843441010632E-3</v>
      </c>
    </row>
    <row r="19" spans="1:12" s="2" customFormat="1" x14ac:dyDescent="0.3">
      <c r="A19" s="4" t="s">
        <v>0</v>
      </c>
      <c r="B19" s="3"/>
      <c r="C19" s="3"/>
      <c r="D19" s="3"/>
      <c r="E19" s="3"/>
      <c r="F19" s="3"/>
      <c r="G19" s="3"/>
      <c r="H19" s="3">
        <f>AVERAGE(H13:H17)</f>
        <v>0.2144481491719501</v>
      </c>
      <c r="I19" s="3">
        <f>AVERAGE(G13:G17)</f>
        <v>0.25267547953192915</v>
      </c>
      <c r="J19" s="3">
        <f>AVERAGE(J13:J16)</f>
        <v>0.42555171268058206</v>
      </c>
      <c r="K19" s="3">
        <f>AVERAGE(K13:K18)</f>
        <v>0.20949914720011617</v>
      </c>
    </row>
    <row r="21" spans="1:12" s="2" customFormat="1" x14ac:dyDescent="0.3">
      <c r="A21" s="9" t="s">
        <v>17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s="1" customFormat="1" ht="28.8" x14ac:dyDescent="0.3">
      <c r="B22" s="1" t="s">
        <v>13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12</v>
      </c>
      <c r="H22" s="4" t="s">
        <v>11</v>
      </c>
      <c r="I22" s="4" t="s">
        <v>10</v>
      </c>
      <c r="J22" s="4" t="s">
        <v>9</v>
      </c>
      <c r="K22" s="4" t="s">
        <v>8</v>
      </c>
      <c r="L22" s="4" t="s">
        <v>7</v>
      </c>
    </row>
    <row r="23" spans="1:12" x14ac:dyDescent="0.3">
      <c r="A23" t="s">
        <v>2</v>
      </c>
      <c r="B23" s="5">
        <v>0</v>
      </c>
      <c r="C23" s="5">
        <v>0.196520293141171</v>
      </c>
      <c r="D23" s="5">
        <v>4.36017364409053E-2</v>
      </c>
      <c r="E23" s="5">
        <v>7.3056532225261096E-4</v>
      </c>
      <c r="F23" s="5">
        <v>1.34216823304692E-3</v>
      </c>
      <c r="G23" s="5">
        <v>1.24722089732737E-2</v>
      </c>
      <c r="H23" s="5">
        <f>AVERAGE(C23:G23)</f>
        <v>5.0933394422129907E-2</v>
      </c>
      <c r="I23" s="5"/>
      <c r="J23" s="5">
        <f>MAX(C23-G23, D23-G23,E23-G23,F23-G23)</f>
        <v>0.18404808416789731</v>
      </c>
      <c r="K23" s="5"/>
    </row>
    <row r="24" spans="1:12" x14ac:dyDescent="0.3">
      <c r="A24" t="s">
        <v>3</v>
      </c>
      <c r="B24" s="5">
        <v>0</v>
      </c>
      <c r="C24" s="5">
        <v>0.15898388317630899</v>
      </c>
      <c r="D24" s="5">
        <v>0.39472780500848997</v>
      </c>
      <c r="E24" s="5">
        <v>3.1308757994944798E-4</v>
      </c>
      <c r="F24" s="5">
        <v>1.1816833915266501E-3</v>
      </c>
      <c r="G24" s="5">
        <v>0.142496658838354</v>
      </c>
      <c r="H24" s="5">
        <f>AVERAGE(C24:G24)</f>
        <v>0.13954062359892583</v>
      </c>
      <c r="I24" s="5"/>
      <c r="J24" s="5">
        <f>MAX(C24-G24, D24-G24,E24-G24,F24-G24)</f>
        <v>0.25223114617013598</v>
      </c>
      <c r="K24" s="5">
        <f>C24</f>
        <v>0.15898388317630899</v>
      </c>
    </row>
    <row r="25" spans="1:12" x14ac:dyDescent="0.3">
      <c r="A25" t="s">
        <v>4</v>
      </c>
      <c r="B25" s="5">
        <v>0.68415092180172599</v>
      </c>
      <c r="C25" s="5">
        <v>0.65696307520071595</v>
      </c>
      <c r="D25" s="5">
        <v>0.65316268677512801</v>
      </c>
      <c r="E25" s="5">
        <v>0.722541693598032</v>
      </c>
      <c r="F25" s="6">
        <v>6.03742930494869E-3</v>
      </c>
      <c r="G25" s="5">
        <v>0.68878000850478804</v>
      </c>
      <c r="H25" s="5">
        <f>AVERAGE(C25:G25)</f>
        <v>0.54549697867672253</v>
      </c>
      <c r="I25" s="5"/>
      <c r="J25" s="5">
        <f>MAX(C25-G25, D25-G25,E25-G25,F25-G25)</f>
        <v>3.3761685093243954E-2</v>
      </c>
      <c r="K25" s="5">
        <f>AVERAGE(C25,D25)</f>
        <v>0.65506288098792198</v>
      </c>
    </row>
    <row r="26" spans="1:12" x14ac:dyDescent="0.3">
      <c r="A26" t="s">
        <v>5</v>
      </c>
      <c r="B26" s="5">
        <v>1.3723343806759601E-4</v>
      </c>
      <c r="C26" s="5">
        <v>9.3531976805631201E-4</v>
      </c>
      <c r="D26" s="5">
        <v>4.7733487614702098E-4</v>
      </c>
      <c r="E26" s="5">
        <v>2.6431382832470198E-4</v>
      </c>
      <c r="F26" s="5">
        <v>0.99328813701868002</v>
      </c>
      <c r="G26" s="5">
        <v>4.5495059945702999E-4</v>
      </c>
      <c r="H26" s="5">
        <f>AVERAGE(C26:G26)</f>
        <v>0.19908401121813302</v>
      </c>
      <c r="I26" s="5"/>
      <c r="J26" s="5">
        <f>MAX(C26-G26, D26-G26,E26-G26,F26-G26)</f>
        <v>0.99283318641922302</v>
      </c>
      <c r="K26" s="5">
        <f>AVERAGE(C26, D26, E26)</f>
        <v>5.5898949084267832E-4</v>
      </c>
    </row>
    <row r="27" spans="1:12" x14ac:dyDescent="0.3">
      <c r="A27" t="s">
        <v>12</v>
      </c>
      <c r="B27" s="5">
        <v>0</v>
      </c>
      <c r="C27" s="5">
        <v>2.7560726649729299E-2</v>
      </c>
      <c r="D27" s="5">
        <v>4.9843502789978303E-2</v>
      </c>
      <c r="E27" s="5">
        <v>3.2006590239082701E-4</v>
      </c>
      <c r="F27" s="5">
        <v>1.2547770917687199E-3</v>
      </c>
      <c r="G27" s="5">
        <v>0.34662241302430602</v>
      </c>
      <c r="H27" s="5">
        <f>AVERAGE(C27:G27)</f>
        <v>8.5120297091634628E-2</v>
      </c>
      <c r="I27" s="5"/>
      <c r="J27" s="5"/>
      <c r="K27" s="5">
        <f>AVERAGE(C27, D27, E27,F27)</f>
        <v>1.9744768108466784E-2</v>
      </c>
    </row>
    <row r="28" spans="1:12" x14ac:dyDescent="0.3">
      <c r="A28" t="s">
        <v>1</v>
      </c>
      <c r="B28" s="5">
        <v>0.97939328849315599</v>
      </c>
      <c r="C28" s="5">
        <v>0.97772973775863603</v>
      </c>
      <c r="D28" s="5">
        <v>0.97980777919292406</v>
      </c>
      <c r="E28" s="5">
        <v>0.98079250752925795</v>
      </c>
      <c r="F28" s="5">
        <v>0.21918649971485099</v>
      </c>
      <c r="G28" s="5">
        <v>0.980287805199623</v>
      </c>
      <c r="L28" s="3">
        <f>AVERAGE(B28-G28)</f>
        <v>-8.9451670646700787E-4</v>
      </c>
    </row>
    <row r="29" spans="1:12" s="2" customFormat="1" x14ac:dyDescent="0.3">
      <c r="A29" s="4" t="s">
        <v>0</v>
      </c>
      <c r="B29" s="3"/>
      <c r="C29" s="3"/>
      <c r="D29" s="3"/>
      <c r="E29" s="3"/>
      <c r="F29" s="3"/>
      <c r="G29" s="3"/>
      <c r="H29" s="3">
        <f>AVERAGE(H23:H27)</f>
        <v>0.2040350610015092</v>
      </c>
      <c r="I29" s="3">
        <f>AVERAGE(G23:G27)</f>
        <v>0.23816524798803576</v>
      </c>
      <c r="J29" s="3">
        <f>AVERAGE(J23:J26)</f>
        <v>0.36571852546262507</v>
      </c>
      <c r="K29" s="3">
        <f>AVERAGE(K23:K28)</f>
        <v>0.2085876304408851</v>
      </c>
    </row>
    <row r="30" spans="1:12" x14ac:dyDescent="0.3">
      <c r="A30"/>
    </row>
    <row r="31" spans="1:12" s="2" customFormat="1" x14ac:dyDescent="0.3">
      <c r="A31" s="9" t="s">
        <v>16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s="1" customFormat="1" ht="28.8" x14ac:dyDescent="0.3">
      <c r="B32" s="1" t="s">
        <v>13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12</v>
      </c>
      <c r="H32" s="4" t="s">
        <v>11</v>
      </c>
      <c r="I32" s="4" t="s">
        <v>10</v>
      </c>
      <c r="J32" s="4" t="s">
        <v>9</v>
      </c>
      <c r="K32" s="4" t="s">
        <v>8</v>
      </c>
      <c r="L32" s="4" t="s">
        <v>7</v>
      </c>
    </row>
    <row r="33" spans="1:12" x14ac:dyDescent="0.3">
      <c r="A33" t="s">
        <v>2</v>
      </c>
      <c r="B33" s="5">
        <v>0</v>
      </c>
      <c r="C33" s="5">
        <v>5.5426492055024298E-2</v>
      </c>
      <c r="D33" s="5">
        <v>2.3582633684782101E-2</v>
      </c>
      <c r="E33" s="5">
        <v>5.4767120794470703E-4</v>
      </c>
      <c r="F33" s="5">
        <v>1.35217133113959E-3</v>
      </c>
      <c r="G33" s="5">
        <v>2.01368590208706E-2</v>
      </c>
      <c r="H33" s="5">
        <f>AVERAGE(C33:G33)</f>
        <v>2.0209165459952258E-2</v>
      </c>
      <c r="I33" s="5"/>
      <c r="J33" s="5">
        <f>MAX(C33-G33, D33-G33,E33-G33,F33-G33)</f>
        <v>3.5289633034153695E-2</v>
      </c>
      <c r="K33" s="5"/>
    </row>
    <row r="34" spans="1:12" x14ac:dyDescent="0.3">
      <c r="A34" t="s">
        <v>3</v>
      </c>
      <c r="B34" s="5">
        <v>0</v>
      </c>
      <c r="C34" s="5">
        <v>5.45344855839478E-2</v>
      </c>
      <c r="D34" s="5">
        <v>0.24183607070396301</v>
      </c>
      <c r="E34" s="5">
        <v>2.4061251800352001E-4</v>
      </c>
      <c r="F34" s="5">
        <v>1.19020938048682E-3</v>
      </c>
      <c r="G34" s="5">
        <v>0.13680706999730299</v>
      </c>
      <c r="H34" s="5">
        <f>AVERAGE(C34:G34)</f>
        <v>8.6921689636740823E-2</v>
      </c>
      <c r="I34" s="5"/>
      <c r="J34" s="5">
        <f>MAX(C34-G34, D34-G34,E34-G34,F34-G34)</f>
        <v>0.10502900070666002</v>
      </c>
      <c r="K34" s="5">
        <f>C34</f>
        <v>5.45344855839478E-2</v>
      </c>
    </row>
    <row r="35" spans="1:12" x14ac:dyDescent="0.3">
      <c r="A35" t="s">
        <v>4</v>
      </c>
      <c r="B35" s="5">
        <v>0.68415092180172599</v>
      </c>
      <c r="C35" s="5">
        <v>0.68765560537576598</v>
      </c>
      <c r="D35" s="5">
        <v>0.68369843934972996</v>
      </c>
      <c r="E35" s="5">
        <v>0.71639659752448404</v>
      </c>
      <c r="F35" s="6">
        <v>6.0851364590537999E-3</v>
      </c>
      <c r="G35" s="5">
        <v>0.679190787176291</v>
      </c>
      <c r="H35" s="5">
        <f>AVERAGE(C35:G35)</f>
        <v>0.55460531317706496</v>
      </c>
      <c r="I35" s="5"/>
      <c r="J35" s="5">
        <f>MAX(C35-G35, D35-G35,E35-G35,F35-G35)</f>
        <v>3.7205810348193036E-2</v>
      </c>
      <c r="K35" s="5">
        <f>AVERAGE(C35,D35)</f>
        <v>0.68567702236274797</v>
      </c>
    </row>
    <row r="36" spans="1:12" x14ac:dyDescent="0.3">
      <c r="A36" t="s">
        <v>5</v>
      </c>
      <c r="B36" s="5">
        <v>1.3723343806759601E-4</v>
      </c>
      <c r="C36" s="5">
        <v>4.6497720995830599E-4</v>
      </c>
      <c r="D36" s="5">
        <v>5.2811463751822798E-4</v>
      </c>
      <c r="E36" s="5">
        <v>2.5252509158235598E-4</v>
      </c>
      <c r="F36" s="5">
        <v>0.98835562666257204</v>
      </c>
      <c r="G36" s="5">
        <v>6.3963253622508398E-4</v>
      </c>
      <c r="H36" s="5">
        <f>AVERAGE(C36:G36)</f>
        <v>0.1980481752275712</v>
      </c>
      <c r="I36" s="5"/>
      <c r="J36" s="5">
        <f>MAX(C36-G36, D36-G36,E36-G36,F36-G36)</f>
        <v>0.98771599412634692</v>
      </c>
      <c r="K36" s="5">
        <f>AVERAGE(C36, D36, E36)</f>
        <v>4.1520564635296337E-4</v>
      </c>
    </row>
    <row r="37" spans="1:12" x14ac:dyDescent="0.3">
      <c r="A37" t="s">
        <v>12</v>
      </c>
      <c r="B37" s="5">
        <v>0</v>
      </c>
      <c r="C37" s="5">
        <v>5.5576539640848398E-3</v>
      </c>
      <c r="D37" s="5">
        <v>3.52936685973569E-2</v>
      </c>
      <c r="E37" s="5">
        <v>1.7551476776134201E-4</v>
      </c>
      <c r="F37" s="5">
        <v>1.2635246675927101E-3</v>
      </c>
      <c r="G37" s="5">
        <v>0.274420363207658</v>
      </c>
      <c r="H37" s="5">
        <f>AVERAGE(C37:G37)</f>
        <v>6.3342145040890765E-2</v>
      </c>
      <c r="I37" s="5"/>
      <c r="J37" s="5"/>
      <c r="K37" s="5">
        <f>AVERAGE(C37, D37, E37,F37)</f>
        <v>1.0572590499198949E-2</v>
      </c>
    </row>
    <row r="38" spans="1:12" x14ac:dyDescent="0.3">
      <c r="A38" t="s">
        <v>1</v>
      </c>
      <c r="B38" s="5">
        <v>0.97939328849315599</v>
      </c>
      <c r="C38" s="5">
        <v>0.97743073105811995</v>
      </c>
      <c r="D38" s="5">
        <v>0.97962865233421303</v>
      </c>
      <c r="E38" s="5">
        <v>0.98068057000636999</v>
      </c>
      <c r="F38" s="5">
        <v>0.22078581154346399</v>
      </c>
      <c r="G38" s="5">
        <v>0.97563105821609497</v>
      </c>
      <c r="L38" s="3">
        <f>AVERAGE(B38-G38)</f>
        <v>3.7622302770610183E-3</v>
      </c>
    </row>
    <row r="39" spans="1:12" s="2" customFormat="1" x14ac:dyDescent="0.3">
      <c r="A39" s="4" t="s">
        <v>0</v>
      </c>
      <c r="B39" s="3"/>
      <c r="C39" s="3"/>
      <c r="D39" s="3"/>
      <c r="E39" s="3"/>
      <c r="F39" s="3"/>
      <c r="G39" s="3"/>
      <c r="H39" s="3">
        <f>AVERAGE(H33:H37)</f>
        <v>0.18462529770844399</v>
      </c>
      <c r="I39" s="3">
        <f>AVERAGE(G33:G37)</f>
        <v>0.22223894238766953</v>
      </c>
      <c r="J39" s="3">
        <f>AVERAGE(J33:J36)</f>
        <v>0.2913101095538384</v>
      </c>
      <c r="K39" s="3">
        <f>AVERAGE(K33:K38)</f>
        <v>0.18779982602306192</v>
      </c>
    </row>
    <row r="41" spans="1:12" s="2" customFormat="1" x14ac:dyDescent="0.3">
      <c r="A41" s="9" t="s">
        <v>15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s="1" customFormat="1" ht="28.8" x14ac:dyDescent="0.3">
      <c r="B42" s="1" t="s">
        <v>13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12</v>
      </c>
      <c r="H42" s="4" t="s">
        <v>11</v>
      </c>
      <c r="I42" s="4" t="s">
        <v>10</v>
      </c>
      <c r="J42" s="4" t="s">
        <v>9</v>
      </c>
      <c r="K42" s="4" t="s">
        <v>8</v>
      </c>
      <c r="L42" s="4" t="s">
        <v>7</v>
      </c>
    </row>
    <row r="43" spans="1:12" x14ac:dyDescent="0.3">
      <c r="A43" t="s">
        <v>2</v>
      </c>
      <c r="B43" s="5">
        <v>0</v>
      </c>
      <c r="C43" s="5">
        <v>2.42366400504276E-2</v>
      </c>
      <c r="D43" s="5">
        <v>2.0000378701903701E-2</v>
      </c>
      <c r="E43" s="5">
        <v>3.9573779880205001E-4</v>
      </c>
      <c r="F43" s="5">
        <v>1.35234193779372E-3</v>
      </c>
      <c r="G43" s="5">
        <v>1.35713540233458E-2</v>
      </c>
      <c r="H43" s="5">
        <f>AVERAGE(C43:G43)</f>
        <v>1.1911290502454572E-2</v>
      </c>
      <c r="I43" s="5"/>
      <c r="J43" s="5">
        <f>MAX(C43-G43, D43-G43,E43-G43,F43-G43)</f>
        <v>1.06652860270818E-2</v>
      </c>
      <c r="K43" s="5"/>
    </row>
    <row r="44" spans="1:12" x14ac:dyDescent="0.3">
      <c r="A44" t="s">
        <v>3</v>
      </c>
      <c r="B44" s="5">
        <v>0</v>
      </c>
      <c r="C44" s="5">
        <v>2.41675280509904E-2</v>
      </c>
      <c r="D44" s="5">
        <v>0.19757787875520599</v>
      </c>
      <c r="E44" s="5">
        <v>1.9571414062132401E-4</v>
      </c>
      <c r="F44" s="5">
        <v>1.1908382075489399E-3</v>
      </c>
      <c r="G44" s="5">
        <v>7.67216672684298E-2</v>
      </c>
      <c r="H44" s="5">
        <f>AVERAGE(C44:G44)</f>
        <v>5.9970725284559288E-2</v>
      </c>
      <c r="I44" s="5"/>
      <c r="J44" s="5">
        <f>MAX(C44-G44, D44-G44,E44-G44,F44-G44)</f>
        <v>0.12085621148677619</v>
      </c>
      <c r="K44" s="5">
        <f>C44</f>
        <v>2.41675280509904E-2</v>
      </c>
    </row>
    <row r="45" spans="1:12" x14ac:dyDescent="0.3">
      <c r="A45" t="s">
        <v>4</v>
      </c>
      <c r="B45" s="5">
        <v>0.68414774164557401</v>
      </c>
      <c r="C45" s="5">
        <v>0.69644595930973596</v>
      </c>
      <c r="D45" s="5">
        <v>0.68292645240823402</v>
      </c>
      <c r="E45" s="5">
        <v>0.71363739048441199</v>
      </c>
      <c r="F45" s="6">
        <v>6.08799008963008E-3</v>
      </c>
      <c r="G45" s="5">
        <v>0.68736360470453794</v>
      </c>
      <c r="H45" s="5">
        <f>AVERAGE(C45:G45)</f>
        <v>0.55729227939931003</v>
      </c>
      <c r="I45" s="5"/>
      <c r="J45" s="5">
        <f>MAX(C45-G45, D45-G45,E45-G45,F45-G45)</f>
        <v>2.6273785779874048E-2</v>
      </c>
      <c r="K45" s="5">
        <f>AVERAGE(C45,D45)</f>
        <v>0.68968620585898499</v>
      </c>
    </row>
    <row r="46" spans="1:12" x14ac:dyDescent="0.3">
      <c r="A46" t="s">
        <v>5</v>
      </c>
      <c r="B46" s="5">
        <v>1.3734113525742901E-4</v>
      </c>
      <c r="C46" s="5">
        <v>3.58606652374267E-4</v>
      </c>
      <c r="D46" s="5">
        <v>6.0474014753708605E-4</v>
      </c>
      <c r="E46" s="5">
        <v>2.42190675104817E-4</v>
      </c>
      <c r="F46" s="5">
        <v>0.987341448664665</v>
      </c>
      <c r="G46" s="5">
        <v>4.9106777540449298E-4</v>
      </c>
      <c r="H46" s="5">
        <f>AVERAGE(C46:G46)</f>
        <v>0.19780761078301715</v>
      </c>
      <c r="I46" s="5"/>
      <c r="J46" s="5">
        <f>MAX(C46-G46, D46-G46,E46-G46,F46-G46)</f>
        <v>0.98685038088926047</v>
      </c>
      <c r="K46" s="5">
        <f>AVERAGE(C46, D46, E46)</f>
        <v>4.0184582500539003E-4</v>
      </c>
    </row>
    <row r="47" spans="1:12" x14ac:dyDescent="0.3">
      <c r="A47" t="s">
        <v>12</v>
      </c>
      <c r="B47" s="5">
        <v>0</v>
      </c>
      <c r="C47" s="5">
        <v>3.0804972824019601E-3</v>
      </c>
      <c r="D47" s="5">
        <v>2.4019473006925699E-2</v>
      </c>
      <c r="E47" s="5">
        <v>1.06434209252862E-4</v>
      </c>
      <c r="F47" s="5">
        <v>1.2620405226092099E-3</v>
      </c>
      <c r="G47" s="5">
        <v>0.19788879000892201</v>
      </c>
      <c r="H47" s="5">
        <f>AVERAGE(C47:G47)</f>
        <v>4.5271447006022349E-2</v>
      </c>
      <c r="I47" s="5"/>
      <c r="J47" s="5"/>
      <c r="K47" s="5">
        <f>AVERAGE(C47, D47, E47,F47)</f>
        <v>7.1171112552974322E-3</v>
      </c>
    </row>
    <row r="48" spans="1:12" x14ac:dyDescent="0.3">
      <c r="A48" t="s">
        <v>1</v>
      </c>
      <c r="B48" s="5">
        <v>0.97939257323741902</v>
      </c>
      <c r="C48" s="5">
        <v>0.97930407524108798</v>
      </c>
      <c r="D48" s="5">
        <v>0.97873342037200906</v>
      </c>
      <c r="E48" s="5">
        <v>0.98066949844360296</v>
      </c>
      <c r="F48" s="5">
        <v>0.219958405941724</v>
      </c>
      <c r="G48" s="5">
        <v>0.97631995379924696</v>
      </c>
      <c r="L48" s="3">
        <f>AVERAGE(B48-G48)</f>
        <v>3.0726194381720529E-3</v>
      </c>
    </row>
    <row r="49" spans="1:12" s="2" customFormat="1" x14ac:dyDescent="0.3">
      <c r="A49" s="4" t="s">
        <v>0</v>
      </c>
      <c r="B49" s="3"/>
      <c r="C49" s="3"/>
      <c r="D49" s="3"/>
      <c r="E49" s="3"/>
      <c r="F49" s="3"/>
      <c r="G49" s="3"/>
      <c r="H49" s="3">
        <f>AVERAGE(H43:H47)</f>
        <v>0.17445067059507269</v>
      </c>
      <c r="I49" s="3">
        <f>AVERAGE(G43:G47)</f>
        <v>0.19520729675612802</v>
      </c>
      <c r="J49" s="3">
        <f>AVERAGE(J43:J46)</f>
        <v>0.28616141604574813</v>
      </c>
      <c r="K49" s="3">
        <f>AVERAGE(K43:K48)</f>
        <v>0.18034317274756956</v>
      </c>
    </row>
    <row r="51" spans="1:12" s="7" customFormat="1" x14ac:dyDescent="0.3">
      <c r="A51" s="8" t="s">
        <v>14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1:12" s="1" customFormat="1" ht="28.8" x14ac:dyDescent="0.3">
      <c r="B52" s="1" t="s">
        <v>13</v>
      </c>
      <c r="C52" s="1" t="s">
        <v>12</v>
      </c>
      <c r="D52" s="1" t="s">
        <v>5</v>
      </c>
      <c r="E52" s="1" t="s">
        <v>4</v>
      </c>
      <c r="F52" s="1" t="s">
        <v>3</v>
      </c>
      <c r="G52" s="1" t="s">
        <v>2</v>
      </c>
      <c r="H52" s="4" t="s">
        <v>11</v>
      </c>
      <c r="I52" s="4" t="s">
        <v>10</v>
      </c>
      <c r="J52" s="4" t="s">
        <v>9</v>
      </c>
      <c r="K52" s="4" t="s">
        <v>8</v>
      </c>
      <c r="L52" s="4" t="s">
        <v>7</v>
      </c>
    </row>
    <row r="53" spans="1:12" x14ac:dyDescent="0.3">
      <c r="A53" t="s">
        <v>6</v>
      </c>
      <c r="B53" s="5">
        <v>0</v>
      </c>
      <c r="C53" s="5">
        <v>0.511857553074757</v>
      </c>
      <c r="D53" s="5">
        <v>1.28706667358831E-3</v>
      </c>
      <c r="E53" s="5">
        <v>2.5797599907188303E-4</v>
      </c>
      <c r="F53" s="5">
        <v>7.7047764409144195E-2</v>
      </c>
      <c r="G53" s="5">
        <v>2.9284667106670201E-2</v>
      </c>
      <c r="H53" s="5">
        <f>AVERAGE(C53:G53)</f>
        <v>0.12394700545264632</v>
      </c>
      <c r="I53" s="5"/>
      <c r="J53" s="5">
        <f>MAX(C53-G53, D53-G53,E53-G53,F53-G53)</f>
        <v>0.48257288596808678</v>
      </c>
      <c r="K53" s="5"/>
    </row>
    <row r="54" spans="1:12" x14ac:dyDescent="0.3">
      <c r="A54" t="s">
        <v>5</v>
      </c>
      <c r="B54" s="5">
        <v>1.3723343806759601E-4</v>
      </c>
      <c r="C54" s="5">
        <v>2.7064519000911399E-4</v>
      </c>
      <c r="D54" s="5">
        <v>0.98011126865943199</v>
      </c>
      <c r="E54" s="5">
        <v>2.8498944148698898E-4</v>
      </c>
      <c r="F54" s="5">
        <v>3.9663432865684901E-4</v>
      </c>
      <c r="G54" s="5">
        <v>2.3616286633417301E-4</v>
      </c>
      <c r="H54" s="5">
        <f>AVERAGE(C54:G54)</f>
        <v>0.19625994009718384</v>
      </c>
      <c r="I54" s="5"/>
      <c r="J54" s="5">
        <f>MAX(C54-G54, D54-G54,E54-G54,F54-G54)</f>
        <v>0.97987510579309778</v>
      </c>
      <c r="K54" s="5">
        <f>C54</f>
        <v>2.7064519000911399E-4</v>
      </c>
    </row>
    <row r="55" spans="1:12" x14ac:dyDescent="0.3">
      <c r="A55" t="s">
        <v>4</v>
      </c>
      <c r="B55" s="5">
        <v>0.68415092180172599</v>
      </c>
      <c r="C55" s="5">
        <v>0.64350967730084996</v>
      </c>
      <c r="D55" s="6">
        <v>6.1918391438666696E-3</v>
      </c>
      <c r="E55" s="5">
        <v>0.74793407817681601</v>
      </c>
      <c r="F55" s="5">
        <v>0.488042397424578</v>
      </c>
      <c r="G55" s="5">
        <v>0.48986410473783798</v>
      </c>
      <c r="H55" s="5">
        <f>AVERAGE(C55:G55)</f>
        <v>0.47510841935678971</v>
      </c>
      <c r="I55" s="5"/>
      <c r="J55" s="5">
        <f>MAX(C55-G55, D55-G55,E55-G55,F55-G55)</f>
        <v>0.25806997343897803</v>
      </c>
      <c r="K55" s="5">
        <f>AVERAGE(C55,D55)</f>
        <v>0.32485075822235832</v>
      </c>
    </row>
    <row r="56" spans="1:12" x14ac:dyDescent="0.3">
      <c r="A56" t="s">
        <v>3</v>
      </c>
      <c r="B56" s="5">
        <v>0</v>
      </c>
      <c r="C56" s="5">
        <v>0.104828719432892</v>
      </c>
      <c r="D56" s="5">
        <v>1.2113158009015E-3</v>
      </c>
      <c r="E56" s="5">
        <v>1.0296594209648899E-3</v>
      </c>
      <c r="F56" s="5">
        <v>0.51553703099489201</v>
      </c>
      <c r="G56" s="5">
        <v>0.240985282657978</v>
      </c>
      <c r="H56" s="5">
        <f>AVERAGE(C56:G56)</f>
        <v>0.17271840166152569</v>
      </c>
      <c r="I56" s="5"/>
      <c r="J56" s="5">
        <f>MAX(C56-G56, D56-G56,E56-G56,F56-G56)</f>
        <v>0.27455174833691398</v>
      </c>
      <c r="K56" s="5">
        <f>AVERAGE(C56, D56, E56)</f>
        <v>3.5689898218252795E-2</v>
      </c>
    </row>
    <row r="57" spans="1:12" x14ac:dyDescent="0.3">
      <c r="A57" t="s">
        <v>2</v>
      </c>
      <c r="B57" s="5">
        <v>0</v>
      </c>
      <c r="C57" s="5">
        <v>3.3798585645854399E-3</v>
      </c>
      <c r="D57" s="5">
        <v>1.3767816878195499E-3</v>
      </c>
      <c r="E57" s="5">
        <v>4.2637939623091299E-4</v>
      </c>
      <c r="F57" s="5">
        <v>9.0148608343345801E-2</v>
      </c>
      <c r="G57" s="5">
        <v>0.59937477856874399</v>
      </c>
      <c r="H57" s="5">
        <f>AVERAGE(C57:G57)</f>
        <v>0.13894128131214514</v>
      </c>
      <c r="I57" s="5"/>
      <c r="J57" s="5"/>
      <c r="K57" s="5">
        <f>AVERAGE(C57, D57, E57,F57)</f>
        <v>2.3832906997995427E-2</v>
      </c>
    </row>
    <row r="58" spans="1:12" x14ac:dyDescent="0.3">
      <c r="A58" t="s">
        <v>1</v>
      </c>
      <c r="B58" s="5">
        <v>0.97939328849315599</v>
      </c>
      <c r="C58" s="5">
        <v>0.95969225466251296</v>
      </c>
      <c r="D58" s="5">
        <v>0.22939470782876001</v>
      </c>
      <c r="E58" s="5">
        <v>0.98004531860351496</v>
      </c>
      <c r="F58" s="5">
        <v>0.89908768236637104</v>
      </c>
      <c r="G58" s="5">
        <v>0.94319154322147303</v>
      </c>
      <c r="L58" s="3">
        <f>AVERAGE(B58-G58)</f>
        <v>3.6201745271682961E-2</v>
      </c>
    </row>
    <row r="59" spans="1:12" s="2" customFormat="1" x14ac:dyDescent="0.3">
      <c r="A59" s="4" t="s">
        <v>0</v>
      </c>
      <c r="B59" s="3"/>
      <c r="C59" s="3"/>
      <c r="D59" s="3"/>
      <c r="E59" s="3"/>
      <c r="F59" s="3"/>
      <c r="G59" s="3"/>
      <c r="H59" s="3">
        <f>AVERAGE(H53:H57)</f>
        <v>0.22139500957605812</v>
      </c>
      <c r="I59" s="3">
        <f>AVERAGE(G53:G57)</f>
        <v>0.27194899918751292</v>
      </c>
      <c r="J59" s="3">
        <f>AVERAGE(J53:J56)</f>
        <v>0.49876742838426913</v>
      </c>
      <c r="K59" s="3">
        <f>AVERAGE(K53:K58)</f>
        <v>9.6161052157153926E-2</v>
      </c>
    </row>
  </sheetData>
  <mergeCells count="6">
    <mergeCell ref="A31:L31"/>
    <mergeCell ref="A41:L41"/>
    <mergeCell ref="A51:L51"/>
    <mergeCell ref="A1:L1"/>
    <mergeCell ref="A11:L11"/>
    <mergeCell ref="A21:L21"/>
  </mergeCells>
  <conditionalFormatting sqref="B3:G8">
    <cfRule type="cellIs" dxfId="29" priority="26" operator="between">
      <formula>0.1</formula>
      <formula>0.2</formula>
    </cfRule>
    <cfRule type="cellIs" dxfId="28" priority="27" operator="between">
      <formula>0.2</formula>
      <formula>0.4</formula>
    </cfRule>
    <cfRule type="cellIs" dxfId="27" priority="28" operator="between">
      <formula>0.4</formula>
      <formula>0.6</formula>
    </cfRule>
    <cfRule type="cellIs" dxfId="26" priority="29" operator="between">
      <formula>0.6</formula>
      <formula>0.8</formula>
    </cfRule>
    <cfRule type="cellIs" dxfId="25" priority="30" operator="between">
      <formula>0.8</formula>
      <formula>1</formula>
    </cfRule>
  </conditionalFormatting>
  <conditionalFormatting sqref="B13:G18">
    <cfRule type="cellIs" dxfId="24" priority="21" operator="between">
      <formula>0.1</formula>
      <formula>0.2</formula>
    </cfRule>
    <cfRule type="cellIs" dxfId="23" priority="22" operator="between">
      <formula>0.2</formula>
      <formula>0.4</formula>
    </cfRule>
    <cfRule type="cellIs" dxfId="22" priority="23" operator="between">
      <formula>0.4</formula>
      <formula>0.6</formula>
    </cfRule>
    <cfRule type="cellIs" dxfId="21" priority="24" operator="between">
      <formula>0.6</formula>
      <formula>0.8</formula>
    </cfRule>
    <cfRule type="cellIs" dxfId="20" priority="25" operator="between">
      <formula>0.8</formula>
      <formula>1</formula>
    </cfRule>
  </conditionalFormatting>
  <conditionalFormatting sqref="B23:G28">
    <cfRule type="cellIs" dxfId="19" priority="16" operator="between">
      <formula>0.1</formula>
      <formula>0.2</formula>
    </cfRule>
    <cfRule type="cellIs" dxfId="18" priority="17" operator="between">
      <formula>0.2</formula>
      <formula>0.4</formula>
    </cfRule>
    <cfRule type="cellIs" dxfId="17" priority="18" operator="between">
      <formula>0.4</formula>
      <formula>0.6</formula>
    </cfRule>
    <cfRule type="cellIs" dxfId="16" priority="19" operator="between">
      <formula>0.6</formula>
      <formula>0.8</formula>
    </cfRule>
    <cfRule type="cellIs" dxfId="15" priority="20" operator="between">
      <formula>0.8</formula>
      <formula>1</formula>
    </cfRule>
  </conditionalFormatting>
  <conditionalFormatting sqref="B33:G38">
    <cfRule type="cellIs" dxfId="14" priority="11" operator="between">
      <formula>0.1</formula>
      <formula>0.2</formula>
    </cfRule>
    <cfRule type="cellIs" dxfId="13" priority="12" operator="between">
      <formula>0.2</formula>
      <formula>0.4</formula>
    </cfRule>
    <cfRule type="cellIs" dxfId="12" priority="13" operator="between">
      <formula>0.4</formula>
      <formula>0.6</formula>
    </cfRule>
    <cfRule type="cellIs" dxfId="11" priority="14" operator="between">
      <formula>0.6</formula>
      <formula>0.8</formula>
    </cfRule>
    <cfRule type="cellIs" dxfId="10" priority="15" operator="between">
      <formula>0.8</formula>
      <formula>1</formula>
    </cfRule>
  </conditionalFormatting>
  <conditionalFormatting sqref="B43:G48">
    <cfRule type="cellIs" dxfId="9" priority="6" operator="between">
      <formula>0.1</formula>
      <formula>0.2</formula>
    </cfRule>
    <cfRule type="cellIs" dxfId="8" priority="7" operator="between">
      <formula>0.2</formula>
      <formula>0.4</formula>
    </cfRule>
    <cfRule type="cellIs" dxfId="7" priority="8" operator="between">
      <formula>0.4</formula>
      <formula>0.6</formula>
    </cfRule>
    <cfRule type="cellIs" dxfId="6" priority="9" operator="between">
      <formula>0.6</formula>
      <formula>0.8</formula>
    </cfRule>
    <cfRule type="cellIs" dxfId="5" priority="10" operator="between">
      <formula>0.8</formula>
      <formula>1</formula>
    </cfRule>
  </conditionalFormatting>
  <conditionalFormatting sqref="B53:G58">
    <cfRule type="cellIs" dxfId="4" priority="1" operator="between">
      <formula>0.1</formula>
      <formula>0.2</formula>
    </cfRule>
    <cfRule type="cellIs" dxfId="3" priority="2" operator="between">
      <formula>0.2</formula>
      <formula>0.4</formula>
    </cfRule>
    <cfRule type="cellIs" dxfId="2" priority="3" operator="between">
      <formula>0.4</formula>
      <formula>0.6</formula>
    </cfRule>
    <cfRule type="cellIs" dxfId="1" priority="4" operator="between">
      <formula>0.6</formula>
      <formula>0.8</formula>
    </cfRule>
    <cfRule type="cellIs" dxfId="0" priority="5" operator="between">
      <formula>0.8</formula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TIL-LoRA (isolated)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verma</dc:creator>
  <cp:lastModifiedBy>Shashank verma</cp:lastModifiedBy>
  <dcterms:created xsi:type="dcterms:W3CDTF">2026-10-18T13:59:13Z</dcterms:created>
  <dcterms:modified xsi:type="dcterms:W3CDTF">2026-10-18T14:01:45Z</dcterms:modified>
</cp:coreProperties>
</file>