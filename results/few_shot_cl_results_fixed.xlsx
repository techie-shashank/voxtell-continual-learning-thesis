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2a6868b0fd06ef7/"/>
    </mc:Choice>
  </mc:AlternateContent>
  <xr:revisionPtr revIDLastSave="148" documentId="8_{11DF1DD2-F5A3-42AD-9201-8FAC69274C24}" xr6:coauthVersionLast="47" xr6:coauthVersionMax="47" xr10:uidLastSave="{6B2C971B-5EED-4976-959C-5BF763E09C28}"/>
  <bookViews>
    <workbookView xWindow="-108" yWindow="-108" windowWidth="23256" windowHeight="12456" xr2:uid="{0ABF8F8D-A5C6-4B74-9FD9-CAACC9571FF2}"/>
  </bookViews>
  <sheets>
    <sheet name="Dashboard" sheetId="10" r:id="rId1"/>
    <sheet name="TIL-LoRA (isolated)" sheetId="1" state="hidden" r:id="rId2"/>
    <sheet name="CIL-LoRA" sheetId="9" r:id="rId3"/>
    <sheet name="TIL-LoRA" sheetId="12" r:id="rId4"/>
    <sheet name="CPE-CLIP" sheetId="13" r:id="rId5"/>
    <sheet name="Fine-tuning" sheetId="11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0" i="13" l="1"/>
  <c r="M9" i="13"/>
  <c r="L8" i="13"/>
  <c r="I8" i="13"/>
  <c r="L7" i="13"/>
  <c r="K7" i="13"/>
  <c r="I7" i="13"/>
  <c r="L6" i="13"/>
  <c r="K6" i="13"/>
  <c r="I6" i="13"/>
  <c r="L5" i="13"/>
  <c r="K5" i="13"/>
  <c r="I5" i="13"/>
  <c r="L4" i="13"/>
  <c r="L10" i="13" s="1"/>
  <c r="K4" i="13"/>
  <c r="I4" i="13"/>
  <c r="K3" i="13"/>
  <c r="I3" i="13"/>
  <c r="I10" i="13" s="1"/>
  <c r="J10" i="12"/>
  <c r="M9" i="12"/>
  <c r="L8" i="12"/>
  <c r="I8" i="12"/>
  <c r="L7" i="12"/>
  <c r="K7" i="12"/>
  <c r="I7" i="12"/>
  <c r="L6" i="12"/>
  <c r="K6" i="12"/>
  <c r="I6" i="12"/>
  <c r="L5" i="12"/>
  <c r="K5" i="12"/>
  <c r="I5" i="12"/>
  <c r="L4" i="12"/>
  <c r="K4" i="12"/>
  <c r="I4" i="12"/>
  <c r="K3" i="12"/>
  <c r="I3" i="12"/>
  <c r="I10" i="12" s="1"/>
  <c r="J32" i="9"/>
  <c r="M31" i="9"/>
  <c r="L30" i="9"/>
  <c r="I30" i="9"/>
  <c r="L29" i="9"/>
  <c r="K29" i="9"/>
  <c r="I29" i="9"/>
  <c r="L28" i="9"/>
  <c r="K28" i="9"/>
  <c r="I28" i="9"/>
  <c r="L27" i="9"/>
  <c r="K27" i="9"/>
  <c r="I27" i="9"/>
  <c r="L26" i="9"/>
  <c r="K26" i="9"/>
  <c r="I26" i="9"/>
  <c r="K25" i="9"/>
  <c r="I25" i="9"/>
  <c r="I32" i="9" s="1"/>
  <c r="J21" i="9"/>
  <c r="M20" i="9"/>
  <c r="L19" i="9"/>
  <c r="I19" i="9"/>
  <c r="L18" i="9"/>
  <c r="K18" i="9"/>
  <c r="I18" i="9"/>
  <c r="L17" i="9"/>
  <c r="K17" i="9"/>
  <c r="I17" i="9"/>
  <c r="L16" i="9"/>
  <c r="K16" i="9"/>
  <c r="I16" i="9"/>
  <c r="L15" i="9"/>
  <c r="K15" i="9"/>
  <c r="I15" i="9"/>
  <c r="K14" i="9"/>
  <c r="I14" i="9"/>
  <c r="L8" i="9"/>
  <c r="J10" i="9"/>
  <c r="M9" i="9"/>
  <c r="K10" i="13" l="1"/>
  <c r="K10" i="12"/>
  <c r="L10" i="12"/>
  <c r="K32" i="9"/>
  <c r="L32" i="9"/>
  <c r="L21" i="9"/>
  <c r="I21" i="9"/>
  <c r="K21" i="9"/>
  <c r="K6" i="9"/>
  <c r="K7" i="9"/>
  <c r="I8" i="9"/>
  <c r="I7" i="9"/>
  <c r="L5" i="9"/>
  <c r="L4" i="9"/>
  <c r="K4" i="9"/>
  <c r="K5" i="9"/>
  <c r="K3" i="9"/>
  <c r="I6" i="9"/>
  <c r="I5" i="9"/>
  <c r="I4" i="9"/>
  <c r="I3" i="9"/>
  <c r="I10" i="9" s="1"/>
  <c r="K10" i="9" l="1"/>
  <c r="J54" i="1"/>
  <c r="J55" i="1"/>
  <c r="J56" i="1"/>
  <c r="J44" i="1"/>
  <c r="J45" i="1"/>
  <c r="J46" i="1"/>
  <c r="J34" i="1"/>
  <c r="J39" i="1" s="1"/>
  <c r="J35" i="1"/>
  <c r="J36" i="1"/>
  <c r="J24" i="1"/>
  <c r="J29" i="1" s="1"/>
  <c r="J25" i="1"/>
  <c r="J26" i="1"/>
  <c r="J14" i="1"/>
  <c r="J15" i="1"/>
  <c r="J19" i="1" s="1"/>
  <c r="J16" i="1"/>
  <c r="J4" i="1"/>
  <c r="J5" i="1"/>
  <c r="J9" i="1" s="1"/>
  <c r="J6" i="1"/>
  <c r="K45" i="1"/>
  <c r="K44" i="1"/>
  <c r="L58" i="1"/>
  <c r="L48" i="1"/>
  <c r="L38" i="1"/>
  <c r="L28" i="1"/>
  <c r="L18" i="1"/>
  <c r="L8" i="1"/>
  <c r="J49" i="1"/>
  <c r="J59" i="1"/>
  <c r="K57" i="1"/>
  <c r="K56" i="1"/>
  <c r="K55" i="1"/>
  <c r="K54" i="1"/>
  <c r="I59" i="1"/>
  <c r="I49" i="1"/>
  <c r="I39" i="1"/>
  <c r="I29" i="1"/>
  <c r="I19" i="1"/>
  <c r="I9" i="1"/>
  <c r="L7" i="9"/>
  <c r="L6" i="9"/>
  <c r="H57" i="1"/>
  <c r="H56" i="1"/>
  <c r="H55" i="1"/>
  <c r="H54" i="1"/>
  <c r="J53" i="1"/>
  <c r="H53" i="1"/>
  <c r="K47" i="1"/>
  <c r="H47" i="1"/>
  <c r="K46" i="1"/>
  <c r="H46" i="1"/>
  <c r="H45" i="1"/>
  <c r="H44" i="1"/>
  <c r="J43" i="1"/>
  <c r="H43" i="1"/>
  <c r="K37" i="1"/>
  <c r="H37" i="1"/>
  <c r="K36" i="1"/>
  <c r="H36" i="1"/>
  <c r="K35" i="1"/>
  <c r="H35" i="1"/>
  <c r="K34" i="1"/>
  <c r="H34" i="1"/>
  <c r="J33" i="1"/>
  <c r="H33" i="1"/>
  <c r="K27" i="1"/>
  <c r="H27" i="1"/>
  <c r="K26" i="1"/>
  <c r="H26" i="1"/>
  <c r="K25" i="1"/>
  <c r="H25" i="1"/>
  <c r="K24" i="1"/>
  <c r="H24" i="1"/>
  <c r="J23" i="1"/>
  <c r="H23" i="1"/>
  <c r="K4" i="1"/>
  <c r="K5" i="1"/>
  <c r="K6" i="1"/>
  <c r="K7" i="1"/>
  <c r="H17" i="1"/>
  <c r="K17" i="1"/>
  <c r="H16" i="1"/>
  <c r="K16" i="1"/>
  <c r="H15" i="1"/>
  <c r="K15" i="1"/>
  <c r="H14" i="1"/>
  <c r="K14" i="1"/>
  <c r="J13" i="1"/>
  <c r="H13" i="1"/>
  <c r="J3" i="1"/>
  <c r="H5" i="1"/>
  <c r="H4" i="1"/>
  <c r="H6" i="1"/>
  <c r="H7" i="1"/>
  <c r="H3" i="1"/>
  <c r="K9" i="1" l="1"/>
  <c r="K59" i="1"/>
  <c r="K49" i="1"/>
  <c r="K39" i="1"/>
  <c r="K29" i="1"/>
  <c r="L10" i="9"/>
  <c r="H59" i="1"/>
  <c r="H49" i="1"/>
  <c r="H39" i="1"/>
  <c r="H29" i="1"/>
  <c r="H19" i="1"/>
  <c r="K19" i="1"/>
  <c r="H9" i="1"/>
</calcChain>
</file>

<file path=xl/sharedStrings.xml><?xml version="1.0" encoding="utf-8"?>
<sst xmlns="http://schemas.openxmlformats.org/spreadsheetml/2006/main" count="220" uniqueCount="35">
  <si>
    <t>Pretrained</t>
  </si>
  <si>
    <t>aeropath (Retention)</t>
  </si>
  <si>
    <t>Task-Incremental LoRA (rank=8, Task Order=Original)</t>
  </si>
  <si>
    <t>Task-Incremental LoRA (rank=16, Task Order=Original)</t>
  </si>
  <si>
    <t>Transfer</t>
  </si>
  <si>
    <t>Average</t>
  </si>
  <si>
    <t>Task-Incremental LoRA (rank=32, Task Order=Original)</t>
  </si>
  <si>
    <t>Task-Incremental LoRA (rank=64, Task Order=Original)</t>
  </si>
  <si>
    <t>Task-Incremental LoRA (rank=128, Task Order=Original)</t>
  </si>
  <si>
    <t>Task-Incremental LoRA (rank=8, Task Order=Reversed)</t>
  </si>
  <si>
    <t>Average Performance</t>
  </si>
  <si>
    <t>Final Forgetting</t>
  </si>
  <si>
    <t>Lateral Tibial</t>
  </si>
  <si>
    <t>Medial Tibial</t>
  </si>
  <si>
    <t>Femoral</t>
  </si>
  <si>
    <t>Patellar</t>
  </si>
  <si>
    <t>Medial Meniscus</t>
  </si>
  <si>
    <t>Medial Mensicus</t>
  </si>
  <si>
    <t>Final Performance</t>
  </si>
  <si>
    <t>Final Retention Drop</t>
  </si>
  <si>
    <t>Method</t>
  </si>
  <si>
    <t>Task Order</t>
  </si>
  <si>
    <t>Original</t>
  </si>
  <si>
    <t>CIL-LoRA</t>
  </si>
  <si>
    <t>Lateral Meniscus</t>
  </si>
  <si>
    <t>Final Average Performance</t>
  </si>
  <si>
    <t>LoRA Rank</t>
  </si>
  <si>
    <t>Training Samples</t>
  </si>
  <si>
    <t>Relative Retention Drop</t>
  </si>
  <si>
    <t>CIL-LoRA (Rank=128, Task Order=Original)</t>
  </si>
  <si>
    <t>CIL-LoRA (Rank=256, Task Order=Original)</t>
  </si>
  <si>
    <t>CIL-LoRA (Rank=128, Task Order=Original, replay_fraction=0.1)</t>
  </si>
  <si>
    <t>TIL-LoRA (Rank=4, Task Order=Original)</t>
  </si>
  <si>
    <t>CPE-CLIP (Task Order=Original)</t>
  </si>
  <si>
    <t>TIL-LoRA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</si>
</sst>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6C6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164" fontId="1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64" fontId="0" fillId="4" borderId="0" xfId="0" applyNumberFormat="1" applyFill="1"/>
    <xf numFmtId="164" fontId="0" fillId="0" borderId="0" xfId="0" applyNumberFormat="1" applyAlignment="1">
      <alignment wrapText="1"/>
    </xf>
    <xf numFmtId="0" fontId="1" fillId="2" borderId="1" xfId="0" applyFont="1" applyFill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164" fontId="1" fillId="2" borderId="2" xfId="0" applyNumberFormat="1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55"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6123A-399E-4F5B-903D-F904EFBFDB9D}">
  <dimension ref="A1:K39"/>
  <sheetViews>
    <sheetView tabSelected="1" zoomScale="85" zoomScaleNormal="85" workbookViewId="0">
      <selection activeCell="A2" sqref="A2:I4"/>
    </sheetView>
  </sheetViews>
  <sheetFormatPr defaultRowHeight="14.4" x14ac:dyDescent="0.3"/>
  <cols>
    <col min="1" max="2" width="18.33203125" customWidth="1"/>
    <col min="3" max="3" width="23.88671875" style="3" customWidth="1"/>
    <col min="4" max="4" width="35.6640625" style="3" customWidth="1"/>
    <col min="5" max="5" width="16.88671875" style="1" customWidth="1"/>
    <col min="6" max="6" width="13.5546875" style="1" customWidth="1"/>
    <col min="7" max="7" width="13.77734375" style="1" customWidth="1"/>
    <col min="8" max="8" width="8.88671875" style="1"/>
    <col min="9" max="9" width="16" style="1" customWidth="1"/>
    <col min="10" max="10" width="14.109375" customWidth="1"/>
    <col min="11" max="11" width="12.44140625" customWidth="1"/>
  </cols>
  <sheetData>
    <row r="1" spans="1:11" s="12" customFormat="1" ht="29.4" thickBot="1" x14ac:dyDescent="0.35">
      <c r="A1" s="10" t="s">
        <v>20</v>
      </c>
      <c r="B1" s="10" t="s">
        <v>27</v>
      </c>
      <c r="C1" s="10" t="s">
        <v>26</v>
      </c>
      <c r="D1" s="10" t="s">
        <v>21</v>
      </c>
      <c r="E1" s="11" t="s">
        <v>10</v>
      </c>
      <c r="F1" s="11" t="s">
        <v>25</v>
      </c>
      <c r="G1" s="11" t="s">
        <v>11</v>
      </c>
      <c r="H1" s="11" t="s">
        <v>4</v>
      </c>
      <c r="I1" s="13" t="s">
        <v>28</v>
      </c>
    </row>
    <row r="2" spans="1:11" s="3" customFormat="1" x14ac:dyDescent="0.3">
      <c r="A2" t="s">
        <v>23</v>
      </c>
      <c r="B2">
        <v>108</v>
      </c>
      <c r="C2" s="3">
        <v>128</v>
      </c>
      <c r="D2" s="3" t="s">
        <v>22</v>
      </c>
      <c r="E2" s="1">
        <v>0.23167634263304329</v>
      </c>
      <c r="F2" s="1">
        <v>0.20427517102848455</v>
      </c>
      <c r="G2" s="1">
        <v>0.38388537415087998</v>
      </c>
      <c r="H2" s="1">
        <v>0.16983559685098068</v>
      </c>
      <c r="I2" s="1">
        <v>0.97760723031007024</v>
      </c>
      <c r="J2" s="9"/>
      <c r="K2" s="9"/>
    </row>
    <row r="3" spans="1:11" s="3" customFormat="1" x14ac:dyDescent="0.3">
      <c r="A3" t="s">
        <v>23</v>
      </c>
      <c r="B3">
        <v>108</v>
      </c>
      <c r="C3" s="3">
        <v>256</v>
      </c>
      <c r="D3" s="3" t="s">
        <v>22</v>
      </c>
      <c r="E3" s="1">
        <v>0.23950264837779897</v>
      </c>
      <c r="F3" s="1">
        <v>0.22220457360079585</v>
      </c>
      <c r="G3" s="1">
        <v>0.33703272287630159</v>
      </c>
      <c r="H3" s="1">
        <v>0.17339621039917677</v>
      </c>
      <c r="I3" s="1">
        <v>0.84937843672176461</v>
      </c>
      <c r="J3" s="9"/>
      <c r="K3" s="9"/>
    </row>
    <row r="4" spans="1:11" s="3" customFormat="1" x14ac:dyDescent="0.3">
      <c r="A4" t="s">
        <v>34</v>
      </c>
      <c r="B4">
        <v>108</v>
      </c>
      <c r="C4" s="3">
        <v>4</v>
      </c>
      <c r="D4" s="3" t="s">
        <v>22</v>
      </c>
      <c r="E4" s="1">
        <v>0.34095093341932564</v>
      </c>
      <c r="F4" s="1">
        <v>0.48481018427345446</v>
      </c>
      <c r="G4" s="1">
        <v>3.9618014682976801E-4</v>
      </c>
      <c r="H4" s="1">
        <v>0.12882443112938005</v>
      </c>
      <c r="I4" s="1">
        <v>0</v>
      </c>
      <c r="J4" s="9"/>
      <c r="K4" s="9"/>
    </row>
    <row r="5" spans="1:11" s="3" customFormat="1" x14ac:dyDescent="0.3">
      <c r="A5"/>
      <c r="B5"/>
      <c r="E5" s="1"/>
      <c r="F5" s="1"/>
      <c r="G5" s="1"/>
      <c r="H5" s="1"/>
      <c r="I5" s="1"/>
      <c r="J5" s="9"/>
      <c r="K5" s="9"/>
    </row>
    <row r="6" spans="1:11" s="3" customFormat="1" x14ac:dyDescent="0.3">
      <c r="A6"/>
      <c r="B6"/>
      <c r="E6" s="1"/>
      <c r="F6" s="1"/>
      <c r="G6" s="1"/>
      <c r="H6" s="1"/>
      <c r="I6" s="1"/>
      <c r="J6" s="9"/>
      <c r="K6" s="9"/>
    </row>
    <row r="7" spans="1:11" s="3" customFormat="1" x14ac:dyDescent="0.3">
      <c r="A7"/>
      <c r="B7"/>
      <c r="E7" s="1"/>
      <c r="F7" s="1"/>
      <c r="G7" s="1"/>
      <c r="H7" s="1"/>
      <c r="I7" s="1"/>
      <c r="J7" s="9"/>
      <c r="K7" s="9"/>
    </row>
    <row r="8" spans="1:11" x14ac:dyDescent="0.3">
      <c r="J8" s="9"/>
      <c r="K8" s="9"/>
    </row>
    <row r="9" spans="1:11" x14ac:dyDescent="0.3">
      <c r="J9" s="9"/>
      <c r="K9" s="9"/>
    </row>
    <row r="10" spans="1:11" x14ac:dyDescent="0.3">
      <c r="J10" s="9"/>
      <c r="K10" s="9"/>
    </row>
    <row r="11" spans="1:11" x14ac:dyDescent="0.3">
      <c r="J11" s="9"/>
      <c r="K11" s="9"/>
    </row>
    <row r="12" spans="1:11" x14ac:dyDescent="0.3">
      <c r="J12" s="9"/>
      <c r="K12" s="9"/>
    </row>
    <row r="13" spans="1:11" x14ac:dyDescent="0.3">
      <c r="J13" s="9"/>
      <c r="K13" s="9"/>
    </row>
    <row r="14" spans="1:11" x14ac:dyDescent="0.3">
      <c r="J14" s="9"/>
      <c r="K14" s="9"/>
    </row>
    <row r="15" spans="1:11" x14ac:dyDescent="0.3">
      <c r="J15" s="9"/>
      <c r="K15" s="9"/>
    </row>
    <row r="16" spans="1:11" x14ac:dyDescent="0.3">
      <c r="J16" s="9"/>
      <c r="K16" s="9"/>
    </row>
    <row r="17" spans="1:11" x14ac:dyDescent="0.3">
      <c r="J17" s="9"/>
      <c r="K17" s="9"/>
    </row>
    <row r="18" spans="1:11" x14ac:dyDescent="0.3">
      <c r="J18" s="9"/>
      <c r="K18" s="9"/>
    </row>
    <row r="19" spans="1:11" x14ac:dyDescent="0.3">
      <c r="J19" s="9"/>
      <c r="K19" s="9"/>
    </row>
    <row r="20" spans="1:11" x14ac:dyDescent="0.3">
      <c r="J20" s="9"/>
      <c r="K20" s="9"/>
    </row>
    <row r="21" spans="1:11" x14ac:dyDescent="0.3">
      <c r="J21" s="9"/>
      <c r="K21" s="9"/>
    </row>
    <row r="22" spans="1:11" x14ac:dyDescent="0.3">
      <c r="J22" s="9"/>
      <c r="K22" s="9"/>
    </row>
    <row r="23" spans="1:11" x14ac:dyDescent="0.3">
      <c r="J23" s="9"/>
      <c r="K23" s="9"/>
    </row>
    <row r="24" spans="1:11" x14ac:dyDescent="0.3">
      <c r="J24" s="9"/>
      <c r="K24" s="9"/>
    </row>
    <row r="25" spans="1:11" x14ac:dyDescent="0.3">
      <c r="J25" s="9"/>
      <c r="K25" s="9"/>
    </row>
    <row r="26" spans="1:11" x14ac:dyDescent="0.3">
      <c r="J26" s="9"/>
      <c r="K26" s="9"/>
    </row>
    <row r="27" spans="1:11" x14ac:dyDescent="0.3">
      <c r="J27" s="9"/>
      <c r="K27" s="9"/>
    </row>
    <row r="28" spans="1:11" s="3" customFormat="1" x14ac:dyDescent="0.3">
      <c r="A28"/>
      <c r="B28"/>
      <c r="E28" s="1"/>
      <c r="F28" s="1"/>
      <c r="G28" s="1"/>
      <c r="H28" s="1"/>
      <c r="I28" s="1"/>
      <c r="J28" s="9"/>
      <c r="K28" s="9"/>
    </row>
    <row r="29" spans="1:11" s="3" customFormat="1" x14ac:dyDescent="0.3">
      <c r="A29"/>
      <c r="B29"/>
      <c r="E29" s="1"/>
      <c r="F29" s="1"/>
      <c r="G29" s="1"/>
      <c r="H29" s="1"/>
      <c r="I29" s="1"/>
      <c r="J29" s="9"/>
      <c r="K29" s="9"/>
    </row>
    <row r="30" spans="1:11" s="3" customFormat="1" x14ac:dyDescent="0.3">
      <c r="A30"/>
      <c r="B30"/>
      <c r="E30" s="1"/>
      <c r="F30" s="1"/>
      <c r="G30" s="1"/>
      <c r="H30" s="1"/>
      <c r="I30" s="1"/>
      <c r="J30" s="9"/>
      <c r="K30" s="9"/>
    </row>
    <row r="31" spans="1:11" x14ac:dyDescent="0.3">
      <c r="J31" s="9"/>
      <c r="K31" s="9"/>
    </row>
    <row r="32" spans="1:11" x14ac:dyDescent="0.3">
      <c r="J32" s="9"/>
      <c r="K32" s="9"/>
    </row>
    <row r="33" spans="10:11" x14ac:dyDescent="0.3">
      <c r="J33" s="9"/>
      <c r="K33" s="9"/>
    </row>
    <row r="34" spans="10:11" x14ac:dyDescent="0.3">
      <c r="J34" s="9"/>
      <c r="K34" s="9"/>
    </row>
    <row r="35" spans="10:11" x14ac:dyDescent="0.3">
      <c r="J35" s="9"/>
      <c r="K35" s="9"/>
    </row>
    <row r="36" spans="10:11" x14ac:dyDescent="0.3">
      <c r="J36" s="9"/>
      <c r="K36" s="9"/>
    </row>
    <row r="37" spans="10:11" x14ac:dyDescent="0.3">
      <c r="J37" s="9"/>
      <c r="K37" s="9"/>
    </row>
    <row r="38" spans="10:11" x14ac:dyDescent="0.3">
      <c r="J38" s="9"/>
      <c r="K38" s="9"/>
    </row>
    <row r="39" spans="10:11" x14ac:dyDescent="0.3">
      <c r="J39" s="9"/>
      <c r="K39" s="9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EC8C-E332-4066-A49E-6F470431EE14}">
  <dimension ref="A1:L59"/>
  <sheetViews>
    <sheetView workbookViewId="0">
      <selection activeCell="A51" sqref="A51:L51"/>
    </sheetView>
  </sheetViews>
  <sheetFormatPr defaultRowHeight="14.4" x14ac:dyDescent="0.3"/>
  <cols>
    <col min="1" max="1" width="18.21875" style="3" bestFit="1" customWidth="1"/>
    <col min="2" max="2" width="9.44140625" bestFit="1" customWidth="1"/>
    <col min="3" max="3" width="14.6640625" bestFit="1" customWidth="1"/>
    <col min="4" max="4" width="11.33203125" bestFit="1" customWidth="1"/>
    <col min="5" max="5" width="7.6640625" bestFit="1" customWidth="1"/>
    <col min="6" max="6" width="11.33203125" bestFit="1" customWidth="1"/>
    <col min="7" max="7" width="14.6640625" bestFit="1" customWidth="1"/>
    <col min="8" max="8" width="11.88671875" bestFit="1" customWidth="1"/>
    <col min="9" max="9" width="11.88671875" customWidth="1"/>
    <col min="10" max="10" width="9.5546875" bestFit="1" customWidth="1"/>
    <col min="11" max="11" width="7.88671875" bestFit="1" customWidth="1"/>
    <col min="12" max="12" width="13.88671875" bestFit="1" customWidth="1"/>
  </cols>
  <sheetData>
    <row r="1" spans="1:12" s="6" customFormat="1" x14ac:dyDescent="0.3">
      <c r="A1" s="14" t="s">
        <v>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12" s="3" customFormat="1" ht="28.8" x14ac:dyDescent="0.3">
      <c r="B2" s="3" t="s">
        <v>0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4" t="s">
        <v>10</v>
      </c>
      <c r="I2" s="4" t="s">
        <v>18</v>
      </c>
      <c r="J2" s="4" t="s">
        <v>11</v>
      </c>
      <c r="K2" s="4" t="s">
        <v>4</v>
      </c>
      <c r="L2" s="4" t="s">
        <v>19</v>
      </c>
    </row>
    <row r="3" spans="1:12" x14ac:dyDescent="0.3">
      <c r="A3" t="s">
        <v>12</v>
      </c>
      <c r="B3" s="1">
        <v>0</v>
      </c>
      <c r="C3" s="1">
        <v>0.523455834637085</v>
      </c>
      <c r="D3" s="1">
        <v>9.0168493733168903E-2</v>
      </c>
      <c r="E3" s="1">
        <v>4.2849942595542701E-4</v>
      </c>
      <c r="F3" s="1">
        <v>1.3767831284591601E-3</v>
      </c>
      <c r="G3" s="1">
        <v>1.9646728809069201E-3</v>
      </c>
      <c r="H3" s="1">
        <f>AVERAGE(C3:G3)</f>
        <v>0.1234788567611151</v>
      </c>
      <c r="I3" s="1"/>
      <c r="J3" s="1">
        <f>MAX(C3-G3, D3-G3,E3-G3,F3-G3)</f>
        <v>0.52149116175617805</v>
      </c>
      <c r="K3" s="1"/>
    </row>
    <row r="4" spans="1:12" x14ac:dyDescent="0.3">
      <c r="A4" t="s">
        <v>13</v>
      </c>
      <c r="B4" s="1">
        <v>0</v>
      </c>
      <c r="C4" s="1">
        <v>0.261042675895926</v>
      </c>
      <c r="D4" s="1">
        <v>0.51553716758886903</v>
      </c>
      <c r="E4" s="1">
        <v>1.0220204255043999E-3</v>
      </c>
      <c r="F4" s="1">
        <v>1.2113191987737E-3</v>
      </c>
      <c r="G4" s="1">
        <v>9.2947449826169704E-2</v>
      </c>
      <c r="H4" s="1">
        <f>AVERAGE(C4:G4)</f>
        <v>0.17435212658704854</v>
      </c>
      <c r="I4" s="1"/>
      <c r="J4" s="1">
        <f t="shared" ref="J4:J6" si="0">MAX(C4-G4, D4-G4,E4-G4,F4-G4)</f>
        <v>0.42258971776269932</v>
      </c>
      <c r="K4" s="1">
        <f>C4</f>
        <v>0.261042675895926</v>
      </c>
    </row>
    <row r="5" spans="1:12" x14ac:dyDescent="0.3">
      <c r="A5" t="s">
        <v>14</v>
      </c>
      <c r="B5" s="1">
        <v>0.68415092180172599</v>
      </c>
      <c r="C5" s="1">
        <v>0.59784298017620996</v>
      </c>
      <c r="D5" s="1">
        <v>0.48801220084230101</v>
      </c>
      <c r="E5" s="1">
        <v>0.74792718887329102</v>
      </c>
      <c r="F5" s="8">
        <v>6.1918499898941503E-3</v>
      </c>
      <c r="G5" s="1">
        <v>0.61941899483402496</v>
      </c>
      <c r="H5" s="1">
        <f>AVERAGE(C5:G5)</f>
        <v>0.49187864294314421</v>
      </c>
      <c r="I5" s="1"/>
      <c r="J5" s="1">
        <f t="shared" si="0"/>
        <v>0.12850819403926605</v>
      </c>
      <c r="K5" s="1">
        <f>AVERAGE(C5,D5)</f>
        <v>0.54292759050925543</v>
      </c>
    </row>
    <row r="6" spans="1:12" x14ac:dyDescent="0.3">
      <c r="A6" t="s">
        <v>15</v>
      </c>
      <c r="B6" s="1">
        <v>1.3723343806759601E-4</v>
      </c>
      <c r="C6" s="1">
        <v>4.5324461340593699E-4</v>
      </c>
      <c r="D6" s="1">
        <v>3.96658207440244E-4</v>
      </c>
      <c r="E6" s="1">
        <v>2.8502551883017598E-4</v>
      </c>
      <c r="F6" s="1">
        <v>0.98011014362176196</v>
      </c>
      <c r="G6" s="1">
        <v>2.4178526223295099E-4</v>
      </c>
      <c r="H6" s="1">
        <f>AVERAGE(C6:G6)</f>
        <v>0.19629737144473425</v>
      </c>
      <c r="I6" s="1"/>
      <c r="J6" s="1">
        <f t="shared" si="0"/>
        <v>0.97986835835952901</v>
      </c>
      <c r="K6" s="1">
        <f>AVERAGE(C6, D6, E6)</f>
        <v>3.7830944655878568E-4</v>
      </c>
    </row>
    <row r="7" spans="1:12" x14ac:dyDescent="0.3">
      <c r="A7" t="s">
        <v>16</v>
      </c>
      <c r="B7" s="1">
        <v>0</v>
      </c>
      <c r="C7" s="1">
        <v>2.90245968329448E-2</v>
      </c>
      <c r="D7" s="1">
        <v>7.7023197733069496E-2</v>
      </c>
      <c r="E7" s="1">
        <v>2.5800891065349098E-4</v>
      </c>
      <c r="F7" s="1">
        <v>1.2870723755137601E-3</v>
      </c>
      <c r="G7" s="1">
        <v>0.52579400564233403</v>
      </c>
      <c r="H7" s="1">
        <f>AVERAGE(C7:G7)</f>
        <v>0.12667737629890313</v>
      </c>
      <c r="I7" s="1"/>
      <c r="J7" s="1"/>
      <c r="K7" s="1">
        <f>AVERAGE(C7, D7, E7,F7)</f>
        <v>2.6898218963045385E-2</v>
      </c>
    </row>
    <row r="8" spans="1:12" x14ac:dyDescent="0.3">
      <c r="A8" t="s">
        <v>1</v>
      </c>
      <c r="B8" s="1">
        <v>0.97939328849315599</v>
      </c>
      <c r="C8" s="1">
        <v>0.92529293894767695</v>
      </c>
      <c r="D8" s="1">
        <v>0.89903244376182501</v>
      </c>
      <c r="E8" s="1">
        <v>0.98004582524299599</v>
      </c>
      <c r="F8" s="1">
        <v>0.22938907518982801</v>
      </c>
      <c r="G8" s="1">
        <v>0.91503664851188604</v>
      </c>
      <c r="L8" s="2">
        <f>AVERAGE(B8-G8)</f>
        <v>6.4356639981269947E-2</v>
      </c>
    </row>
    <row r="9" spans="1:12" s="5" customFormat="1" x14ac:dyDescent="0.3">
      <c r="A9" s="4" t="s">
        <v>5</v>
      </c>
      <c r="B9" s="2"/>
      <c r="C9" s="2"/>
      <c r="D9" s="2"/>
      <c r="E9" s="2"/>
      <c r="F9" s="2"/>
      <c r="G9" s="2"/>
      <c r="H9" s="2">
        <f>AVERAGE(H3:H7)</f>
        <v>0.22253687480698905</v>
      </c>
      <c r="I9" s="2">
        <f>AVERAGE(G3:G7)</f>
        <v>0.2480733816891337</v>
      </c>
      <c r="J9" s="2">
        <f>AVERAGE(J3:J6)</f>
        <v>0.51311435797941807</v>
      </c>
      <c r="K9" s="2">
        <f>AVERAGE(K3:K8)</f>
        <v>0.2078116987036964</v>
      </c>
    </row>
    <row r="11" spans="1:12" s="5" customFormat="1" x14ac:dyDescent="0.3">
      <c r="A11" s="14" t="s">
        <v>3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s="3" customFormat="1" ht="28.8" x14ac:dyDescent="0.3">
      <c r="B12" s="3" t="s">
        <v>0</v>
      </c>
      <c r="C12" s="3" t="s">
        <v>12</v>
      </c>
      <c r="D12" s="3" t="s">
        <v>13</v>
      </c>
      <c r="E12" s="3" t="s">
        <v>14</v>
      </c>
      <c r="F12" s="3" t="s">
        <v>15</v>
      </c>
      <c r="G12" s="3" t="s">
        <v>16</v>
      </c>
      <c r="H12" s="4" t="s">
        <v>10</v>
      </c>
      <c r="I12" s="4" t="s">
        <v>18</v>
      </c>
      <c r="J12" s="4" t="s">
        <v>11</v>
      </c>
      <c r="K12" s="4" t="s">
        <v>4</v>
      </c>
      <c r="L12" s="4" t="s">
        <v>19</v>
      </c>
    </row>
    <row r="13" spans="1:12" x14ac:dyDescent="0.3">
      <c r="A13" t="s">
        <v>12</v>
      </c>
      <c r="B13" s="1">
        <v>0</v>
      </c>
      <c r="C13" s="1">
        <v>0.309480436223869</v>
      </c>
      <c r="D13" s="1">
        <v>6.2733083511072096E-2</v>
      </c>
      <c r="E13" s="1">
        <v>6.3258360508674095E-4</v>
      </c>
      <c r="F13" s="1">
        <v>1.38256622449262E-3</v>
      </c>
      <c r="G13" s="1">
        <v>6.0585635559012403E-3</v>
      </c>
      <c r="H13" s="1">
        <f>AVERAGE(C13:G13)</f>
        <v>7.6057446624084341E-2</v>
      </c>
      <c r="I13" s="1"/>
      <c r="J13" s="1">
        <f>MAX(C13-G13, D13-G13,E13-G13,F13-G13)</f>
        <v>0.30342187266796777</v>
      </c>
      <c r="K13" s="1"/>
    </row>
    <row r="14" spans="1:12" x14ac:dyDescent="0.3">
      <c r="A14" t="s">
        <v>13</v>
      </c>
      <c r="B14" s="1">
        <v>0</v>
      </c>
      <c r="C14" s="1">
        <v>0.21145656107303901</v>
      </c>
      <c r="D14" s="1">
        <v>0.48438543950517898</v>
      </c>
      <c r="E14" s="1">
        <v>3.3174922555190202E-4</v>
      </c>
      <c r="F14" s="1">
        <v>1.21699413284659E-3</v>
      </c>
      <c r="G14" s="1">
        <v>0.127184058132115</v>
      </c>
      <c r="H14" s="1">
        <f>AVERAGE(C14:G14)</f>
        <v>0.16491496041374629</v>
      </c>
      <c r="I14" s="1"/>
      <c r="J14" s="1">
        <f t="shared" ref="J14:J16" si="1">MAX(C14-G14, D14-G14,E14-G14,F14-G14)</f>
        <v>0.35720138137306401</v>
      </c>
      <c r="K14" s="1">
        <f>C14</f>
        <v>0.21145656107303901</v>
      </c>
    </row>
    <row r="15" spans="1:12" x14ac:dyDescent="0.3">
      <c r="A15" t="s">
        <v>14</v>
      </c>
      <c r="B15" s="1">
        <v>0.68414774164557401</v>
      </c>
      <c r="C15" s="1">
        <v>0.65008285144964795</v>
      </c>
      <c r="D15" s="1">
        <v>0.54908286469678003</v>
      </c>
      <c r="E15" s="1">
        <v>0.73734547197818701</v>
      </c>
      <c r="F15" s="8">
        <v>6.22832366692212E-3</v>
      </c>
      <c r="G15" s="1">
        <v>0.67159034311771304</v>
      </c>
      <c r="H15" s="1">
        <f>AVERAGE(C15:G15)</f>
        <v>0.52286597098184995</v>
      </c>
      <c r="I15" s="1"/>
      <c r="J15" s="1">
        <f t="shared" si="1"/>
        <v>6.5755128860473966E-2</v>
      </c>
      <c r="K15" s="1">
        <f>AVERAGE(C15,D15)</f>
        <v>0.59958285807321399</v>
      </c>
    </row>
    <row r="16" spans="1:12" x14ac:dyDescent="0.3">
      <c r="A16" t="s">
        <v>15</v>
      </c>
      <c r="B16" s="1">
        <v>1.3734113525742901E-4</v>
      </c>
      <c r="C16" s="1">
        <v>9.0833478134299997E-4</v>
      </c>
      <c r="D16" s="1">
        <v>4.4239243470656198E-4</v>
      </c>
      <c r="E16" s="1">
        <v>2.87870376458461E-4</v>
      </c>
      <c r="F16" s="1">
        <v>0.97618492692708903</v>
      </c>
      <c r="G16" s="1">
        <v>3.5645910626650801E-4</v>
      </c>
      <c r="H16" s="1">
        <f>AVERAGE(C16:G16)</f>
        <v>0.19563599672517271</v>
      </c>
      <c r="I16" s="1"/>
      <c r="J16" s="1">
        <f t="shared" si="1"/>
        <v>0.97582846782082255</v>
      </c>
      <c r="K16" s="1">
        <f>AVERAGE(C16, D16, E16)</f>
        <v>5.461991975026743E-4</v>
      </c>
    </row>
    <row r="17" spans="1:12" x14ac:dyDescent="0.3">
      <c r="A17" t="s">
        <v>16</v>
      </c>
      <c r="B17" s="1">
        <v>0</v>
      </c>
      <c r="C17" s="1">
        <v>4.1772178316023201E-2</v>
      </c>
      <c r="D17" s="1">
        <v>6.2139134189540798E-2</v>
      </c>
      <c r="E17" s="1">
        <v>4.4007857407753599E-4</v>
      </c>
      <c r="F17" s="1">
        <v>1.29249074719458E-3</v>
      </c>
      <c r="G17" s="1">
        <v>0.45818797374765002</v>
      </c>
      <c r="H17" s="1">
        <f>AVERAGE(C17:G17)</f>
        <v>0.11276637111489722</v>
      </c>
      <c r="I17" s="1"/>
      <c r="J17" s="1"/>
      <c r="K17" s="1">
        <f>AVERAGE(C17, D17, E17,F17)</f>
        <v>2.6410970456709027E-2</v>
      </c>
    </row>
    <row r="18" spans="1:12" x14ac:dyDescent="0.3">
      <c r="A18" t="s">
        <v>1</v>
      </c>
      <c r="B18" s="1">
        <v>0.97939257323741902</v>
      </c>
      <c r="C18" s="1">
        <v>0.97989982366561801</v>
      </c>
      <c r="D18" s="1">
        <v>0.96813349425792605</v>
      </c>
      <c r="E18" s="1">
        <v>0.98037098348140705</v>
      </c>
      <c r="F18" s="1">
        <v>0.22568856552243199</v>
      </c>
      <c r="G18" s="1">
        <v>0.97641868889331795</v>
      </c>
      <c r="L18" s="2">
        <f>AVERAGE(B18-G18)</f>
        <v>2.9738843441010632E-3</v>
      </c>
    </row>
    <row r="19" spans="1:12" s="5" customFormat="1" x14ac:dyDescent="0.3">
      <c r="A19" s="4" t="s">
        <v>5</v>
      </c>
      <c r="B19" s="2"/>
      <c r="C19" s="2"/>
      <c r="D19" s="2"/>
      <c r="E19" s="2"/>
      <c r="F19" s="2"/>
      <c r="G19" s="2"/>
      <c r="H19" s="2">
        <f>AVERAGE(H13:H17)</f>
        <v>0.2144481491719501</v>
      </c>
      <c r="I19" s="2">
        <f>AVERAGE(G13:G17)</f>
        <v>0.25267547953192915</v>
      </c>
      <c r="J19" s="2">
        <f>AVERAGE(J13:J16)</f>
        <v>0.42555171268058206</v>
      </c>
      <c r="K19" s="2">
        <f>AVERAGE(K13:K18)</f>
        <v>0.20949914720011617</v>
      </c>
    </row>
    <row r="21" spans="1:12" s="5" customFormat="1" x14ac:dyDescent="0.3">
      <c r="A21" s="14" t="s">
        <v>6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</row>
    <row r="22" spans="1:12" s="3" customFormat="1" ht="28.8" x14ac:dyDescent="0.3">
      <c r="B22" s="3" t="s">
        <v>0</v>
      </c>
      <c r="C22" s="3" t="s">
        <v>12</v>
      </c>
      <c r="D22" s="3" t="s">
        <v>13</v>
      </c>
      <c r="E22" s="3" t="s">
        <v>14</v>
      </c>
      <c r="F22" s="3" t="s">
        <v>15</v>
      </c>
      <c r="G22" s="3" t="s">
        <v>16</v>
      </c>
      <c r="H22" s="4" t="s">
        <v>10</v>
      </c>
      <c r="I22" s="4" t="s">
        <v>18</v>
      </c>
      <c r="J22" s="4" t="s">
        <v>11</v>
      </c>
      <c r="K22" s="4" t="s">
        <v>4</v>
      </c>
      <c r="L22" s="4" t="s">
        <v>19</v>
      </c>
    </row>
    <row r="23" spans="1:12" x14ac:dyDescent="0.3">
      <c r="A23" t="s">
        <v>12</v>
      </c>
      <c r="B23" s="1">
        <v>0</v>
      </c>
      <c r="C23" s="1">
        <v>0.196520293141171</v>
      </c>
      <c r="D23" s="1">
        <v>4.36017364409053E-2</v>
      </c>
      <c r="E23" s="1">
        <v>7.3056532225261096E-4</v>
      </c>
      <c r="F23" s="1">
        <v>1.34216823304692E-3</v>
      </c>
      <c r="G23" s="1">
        <v>1.24722089732737E-2</v>
      </c>
      <c r="H23" s="1">
        <f>AVERAGE(C23:G23)</f>
        <v>5.0933394422129907E-2</v>
      </c>
      <c r="I23" s="1"/>
      <c r="J23" s="1">
        <f>MAX(C23-G23, D23-G23,E23-G23,F23-G23)</f>
        <v>0.18404808416789731</v>
      </c>
      <c r="K23" s="1"/>
    </row>
    <row r="24" spans="1:12" x14ac:dyDescent="0.3">
      <c r="A24" t="s">
        <v>13</v>
      </c>
      <c r="B24" s="1">
        <v>0</v>
      </c>
      <c r="C24" s="1">
        <v>0.15898388317630899</v>
      </c>
      <c r="D24" s="1">
        <v>0.39472780500848997</v>
      </c>
      <c r="E24" s="1">
        <v>3.1308757994944798E-4</v>
      </c>
      <c r="F24" s="1">
        <v>1.1816833915266501E-3</v>
      </c>
      <c r="G24" s="1">
        <v>0.142496658838354</v>
      </c>
      <c r="H24" s="1">
        <f>AVERAGE(C24:G24)</f>
        <v>0.13954062359892583</v>
      </c>
      <c r="I24" s="1"/>
      <c r="J24" s="1">
        <f t="shared" ref="J24:J26" si="2">MAX(C24-G24, D24-G24,E24-G24,F24-G24)</f>
        <v>0.25223114617013598</v>
      </c>
      <c r="K24" s="1">
        <f>C24</f>
        <v>0.15898388317630899</v>
      </c>
    </row>
    <row r="25" spans="1:12" x14ac:dyDescent="0.3">
      <c r="A25" t="s">
        <v>14</v>
      </c>
      <c r="B25" s="1">
        <v>0.68415092180172599</v>
      </c>
      <c r="C25" s="1">
        <v>0.65696307520071595</v>
      </c>
      <c r="D25" s="1">
        <v>0.65316268677512801</v>
      </c>
      <c r="E25" s="1">
        <v>0.722541693598032</v>
      </c>
      <c r="F25" s="8">
        <v>6.03742930494869E-3</v>
      </c>
      <c r="G25" s="1">
        <v>0.68878000850478804</v>
      </c>
      <c r="H25" s="1">
        <f>AVERAGE(C25:G25)</f>
        <v>0.54549697867672253</v>
      </c>
      <c r="I25" s="1"/>
      <c r="J25" s="1">
        <f t="shared" si="2"/>
        <v>3.3761685093243954E-2</v>
      </c>
      <c r="K25" s="1">
        <f>AVERAGE(C25,D25)</f>
        <v>0.65506288098792198</v>
      </c>
    </row>
    <row r="26" spans="1:12" x14ac:dyDescent="0.3">
      <c r="A26" t="s">
        <v>15</v>
      </c>
      <c r="B26" s="1">
        <v>1.3723343806759601E-4</v>
      </c>
      <c r="C26" s="1">
        <v>9.3531976805631201E-4</v>
      </c>
      <c r="D26" s="1">
        <v>4.7733487614702098E-4</v>
      </c>
      <c r="E26" s="1">
        <v>2.6431382832470198E-4</v>
      </c>
      <c r="F26" s="1">
        <v>0.99328813701868002</v>
      </c>
      <c r="G26" s="1">
        <v>4.5495059945702999E-4</v>
      </c>
      <c r="H26" s="1">
        <f>AVERAGE(C26:G26)</f>
        <v>0.19908401121813302</v>
      </c>
      <c r="I26" s="1"/>
      <c r="J26" s="1">
        <f t="shared" si="2"/>
        <v>0.99283318641922302</v>
      </c>
      <c r="K26" s="1">
        <f>AVERAGE(C26, D26, E26)</f>
        <v>5.5898949084267832E-4</v>
      </c>
    </row>
    <row r="27" spans="1:12" x14ac:dyDescent="0.3">
      <c r="A27" t="s">
        <v>16</v>
      </c>
      <c r="B27" s="1">
        <v>0</v>
      </c>
      <c r="C27" s="1">
        <v>2.7560726649729299E-2</v>
      </c>
      <c r="D27" s="1">
        <v>4.9843502789978303E-2</v>
      </c>
      <c r="E27" s="1">
        <v>3.2006590239082701E-4</v>
      </c>
      <c r="F27" s="1">
        <v>1.2547770917687199E-3</v>
      </c>
      <c r="G27" s="1">
        <v>0.34662241302430602</v>
      </c>
      <c r="H27" s="1">
        <f>AVERAGE(C27:G27)</f>
        <v>8.5120297091634628E-2</v>
      </c>
      <c r="I27" s="1"/>
      <c r="J27" s="1"/>
      <c r="K27" s="1">
        <f>AVERAGE(C27, D27, E27,F27)</f>
        <v>1.9744768108466784E-2</v>
      </c>
    </row>
    <row r="28" spans="1:12" x14ac:dyDescent="0.3">
      <c r="A28" t="s">
        <v>1</v>
      </c>
      <c r="B28" s="1">
        <v>0.97939328849315599</v>
      </c>
      <c r="C28" s="1">
        <v>0.97772973775863603</v>
      </c>
      <c r="D28" s="1">
        <v>0.97980777919292406</v>
      </c>
      <c r="E28" s="1">
        <v>0.98079250752925795</v>
      </c>
      <c r="F28" s="1">
        <v>0.21918649971485099</v>
      </c>
      <c r="G28" s="1">
        <v>0.980287805199623</v>
      </c>
      <c r="L28" s="2">
        <f>AVERAGE(B28-G28)</f>
        <v>-8.9451670646700787E-4</v>
      </c>
    </row>
    <row r="29" spans="1:12" s="5" customFormat="1" x14ac:dyDescent="0.3">
      <c r="A29" s="4" t="s">
        <v>5</v>
      </c>
      <c r="B29" s="2"/>
      <c r="C29" s="2"/>
      <c r="D29" s="2"/>
      <c r="E29" s="2"/>
      <c r="F29" s="2"/>
      <c r="G29" s="2"/>
      <c r="H29" s="2">
        <f>AVERAGE(H23:H27)</f>
        <v>0.2040350610015092</v>
      </c>
      <c r="I29" s="2">
        <f>AVERAGE(G23:G27)</f>
        <v>0.23816524798803576</v>
      </c>
      <c r="J29" s="2">
        <f>AVERAGE(J23:J26)</f>
        <v>0.36571852546262507</v>
      </c>
      <c r="K29" s="2">
        <f>AVERAGE(K23:K28)</f>
        <v>0.2085876304408851</v>
      </c>
    </row>
    <row r="30" spans="1:12" x14ac:dyDescent="0.3">
      <c r="A30"/>
    </row>
    <row r="31" spans="1:12" s="5" customFormat="1" x14ac:dyDescent="0.3">
      <c r="A31" s="14" t="s">
        <v>7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s="3" customFormat="1" ht="28.8" x14ac:dyDescent="0.3">
      <c r="B32" s="3" t="s">
        <v>0</v>
      </c>
      <c r="C32" s="3" t="s">
        <v>12</v>
      </c>
      <c r="D32" s="3" t="s">
        <v>13</v>
      </c>
      <c r="E32" s="3" t="s">
        <v>14</v>
      </c>
      <c r="F32" s="3" t="s">
        <v>15</v>
      </c>
      <c r="G32" s="3" t="s">
        <v>16</v>
      </c>
      <c r="H32" s="4" t="s">
        <v>10</v>
      </c>
      <c r="I32" s="4" t="s">
        <v>18</v>
      </c>
      <c r="J32" s="4" t="s">
        <v>11</v>
      </c>
      <c r="K32" s="4" t="s">
        <v>4</v>
      </c>
      <c r="L32" s="4" t="s">
        <v>19</v>
      </c>
    </row>
    <row r="33" spans="1:12" x14ac:dyDescent="0.3">
      <c r="A33" t="s">
        <v>12</v>
      </c>
      <c r="B33" s="1">
        <v>0</v>
      </c>
      <c r="C33" s="1">
        <v>5.5426492055024298E-2</v>
      </c>
      <c r="D33" s="1">
        <v>2.3582633684782101E-2</v>
      </c>
      <c r="E33" s="1">
        <v>5.4767120794470703E-4</v>
      </c>
      <c r="F33" s="1">
        <v>1.35217133113959E-3</v>
      </c>
      <c r="G33" s="1">
        <v>2.01368590208706E-2</v>
      </c>
      <c r="H33" s="1">
        <f>AVERAGE(C33:G33)</f>
        <v>2.0209165459952258E-2</v>
      </c>
      <c r="I33" s="1"/>
      <c r="J33" s="1">
        <f>MAX(C33-G33, D33-G33,E33-G33,F33-G33)</f>
        <v>3.5289633034153695E-2</v>
      </c>
      <c r="K33" s="1"/>
    </row>
    <row r="34" spans="1:12" x14ac:dyDescent="0.3">
      <c r="A34" t="s">
        <v>13</v>
      </c>
      <c r="B34" s="1">
        <v>0</v>
      </c>
      <c r="C34" s="1">
        <v>5.45344855839478E-2</v>
      </c>
      <c r="D34" s="1">
        <v>0.24183607070396301</v>
      </c>
      <c r="E34" s="1">
        <v>2.4061251800352001E-4</v>
      </c>
      <c r="F34" s="1">
        <v>1.19020938048682E-3</v>
      </c>
      <c r="G34" s="1">
        <v>0.13680706999730299</v>
      </c>
      <c r="H34" s="1">
        <f>AVERAGE(C34:G34)</f>
        <v>8.6921689636740823E-2</v>
      </c>
      <c r="I34" s="1"/>
      <c r="J34" s="1">
        <f t="shared" ref="J34:J36" si="3">MAX(C34-G34, D34-G34,E34-G34,F34-G34)</f>
        <v>0.10502900070666002</v>
      </c>
      <c r="K34" s="1">
        <f>C34</f>
        <v>5.45344855839478E-2</v>
      </c>
    </row>
    <row r="35" spans="1:12" x14ac:dyDescent="0.3">
      <c r="A35" t="s">
        <v>14</v>
      </c>
      <c r="B35" s="1">
        <v>0.68415092180172599</v>
      </c>
      <c r="C35" s="1">
        <v>0.68765560537576598</v>
      </c>
      <c r="D35" s="1">
        <v>0.68369843934972996</v>
      </c>
      <c r="E35" s="1">
        <v>0.71639659752448404</v>
      </c>
      <c r="F35" s="8">
        <v>6.0851364590537999E-3</v>
      </c>
      <c r="G35" s="1">
        <v>0.679190787176291</v>
      </c>
      <c r="H35" s="1">
        <f>AVERAGE(C35:G35)</f>
        <v>0.55460531317706496</v>
      </c>
      <c r="I35" s="1"/>
      <c r="J35" s="1">
        <f t="shared" si="3"/>
        <v>3.7205810348193036E-2</v>
      </c>
      <c r="K35" s="1">
        <f>AVERAGE(C35,D35)</f>
        <v>0.68567702236274797</v>
      </c>
    </row>
    <row r="36" spans="1:12" x14ac:dyDescent="0.3">
      <c r="A36" t="s">
        <v>15</v>
      </c>
      <c r="B36" s="1">
        <v>1.3723343806759601E-4</v>
      </c>
      <c r="C36" s="1">
        <v>4.6497720995830599E-4</v>
      </c>
      <c r="D36" s="1">
        <v>5.2811463751822798E-4</v>
      </c>
      <c r="E36" s="1">
        <v>2.5252509158235598E-4</v>
      </c>
      <c r="F36" s="1">
        <v>0.98835562666257204</v>
      </c>
      <c r="G36" s="1">
        <v>6.3963253622508398E-4</v>
      </c>
      <c r="H36" s="1">
        <f>AVERAGE(C36:G36)</f>
        <v>0.1980481752275712</v>
      </c>
      <c r="I36" s="1"/>
      <c r="J36" s="1">
        <f t="shared" si="3"/>
        <v>0.98771599412634692</v>
      </c>
      <c r="K36" s="1">
        <f>AVERAGE(C36, D36, E36)</f>
        <v>4.1520564635296337E-4</v>
      </c>
    </row>
    <row r="37" spans="1:12" x14ac:dyDescent="0.3">
      <c r="A37" t="s">
        <v>16</v>
      </c>
      <c r="B37" s="1">
        <v>0</v>
      </c>
      <c r="C37" s="1">
        <v>5.5576539640848398E-3</v>
      </c>
      <c r="D37" s="1">
        <v>3.52936685973569E-2</v>
      </c>
      <c r="E37" s="1">
        <v>1.7551476776134201E-4</v>
      </c>
      <c r="F37" s="1">
        <v>1.2635246675927101E-3</v>
      </c>
      <c r="G37" s="1">
        <v>0.274420363207658</v>
      </c>
      <c r="H37" s="1">
        <f>AVERAGE(C37:G37)</f>
        <v>6.3342145040890765E-2</v>
      </c>
      <c r="I37" s="1"/>
      <c r="J37" s="1"/>
      <c r="K37" s="1">
        <f>AVERAGE(C37, D37, E37,F37)</f>
        <v>1.0572590499198949E-2</v>
      </c>
    </row>
    <row r="38" spans="1:12" x14ac:dyDescent="0.3">
      <c r="A38" t="s">
        <v>1</v>
      </c>
      <c r="B38" s="1">
        <v>0.97939328849315599</v>
      </c>
      <c r="C38" s="1">
        <v>0.97743073105811995</v>
      </c>
      <c r="D38" s="1">
        <v>0.97962865233421303</v>
      </c>
      <c r="E38" s="1">
        <v>0.98068057000636999</v>
      </c>
      <c r="F38" s="1">
        <v>0.22078581154346399</v>
      </c>
      <c r="G38" s="1">
        <v>0.97563105821609497</v>
      </c>
      <c r="L38" s="2">
        <f>AVERAGE(B38-G38)</f>
        <v>3.7622302770610183E-3</v>
      </c>
    </row>
    <row r="39" spans="1:12" s="5" customFormat="1" x14ac:dyDescent="0.3">
      <c r="A39" s="4" t="s">
        <v>5</v>
      </c>
      <c r="B39" s="2"/>
      <c r="C39" s="2"/>
      <c r="D39" s="2"/>
      <c r="E39" s="2"/>
      <c r="F39" s="2"/>
      <c r="G39" s="2"/>
      <c r="H39" s="2">
        <f>AVERAGE(H33:H37)</f>
        <v>0.18462529770844399</v>
      </c>
      <c r="I39" s="2">
        <f>AVERAGE(G33:G37)</f>
        <v>0.22223894238766953</v>
      </c>
      <c r="J39" s="2">
        <f>AVERAGE(J33:J36)</f>
        <v>0.2913101095538384</v>
      </c>
      <c r="K39" s="2">
        <f>AVERAGE(K33:K38)</f>
        <v>0.18779982602306192</v>
      </c>
    </row>
    <row r="41" spans="1:12" s="5" customFormat="1" x14ac:dyDescent="0.3">
      <c r="A41" s="14" t="s">
        <v>8</v>
      </c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</row>
    <row r="42" spans="1:12" s="3" customFormat="1" ht="28.8" x14ac:dyDescent="0.3">
      <c r="B42" s="3" t="s">
        <v>0</v>
      </c>
      <c r="C42" s="3" t="s">
        <v>12</v>
      </c>
      <c r="D42" s="3" t="s">
        <v>13</v>
      </c>
      <c r="E42" s="3" t="s">
        <v>14</v>
      </c>
      <c r="F42" s="3" t="s">
        <v>15</v>
      </c>
      <c r="G42" s="3" t="s">
        <v>16</v>
      </c>
      <c r="H42" s="4" t="s">
        <v>10</v>
      </c>
      <c r="I42" s="4" t="s">
        <v>18</v>
      </c>
      <c r="J42" s="4" t="s">
        <v>11</v>
      </c>
      <c r="K42" s="4" t="s">
        <v>4</v>
      </c>
      <c r="L42" s="4" t="s">
        <v>19</v>
      </c>
    </row>
    <row r="43" spans="1:12" x14ac:dyDescent="0.3">
      <c r="A43" t="s">
        <v>12</v>
      </c>
      <c r="B43" s="1">
        <v>0</v>
      </c>
      <c r="C43" s="1">
        <v>2.42366400504276E-2</v>
      </c>
      <c r="D43" s="1">
        <v>2.0000378701903701E-2</v>
      </c>
      <c r="E43" s="1">
        <v>3.9573779880205001E-4</v>
      </c>
      <c r="F43" s="1">
        <v>1.35234193779372E-3</v>
      </c>
      <c r="G43" s="1">
        <v>1.35713540233458E-2</v>
      </c>
      <c r="H43" s="1">
        <f>AVERAGE(C43:G43)</f>
        <v>1.1911290502454572E-2</v>
      </c>
      <c r="I43" s="1"/>
      <c r="J43" s="1">
        <f>MAX(C43-G43, D43-G43,E43-G43,F43-G43)</f>
        <v>1.06652860270818E-2</v>
      </c>
      <c r="K43" s="1"/>
    </row>
    <row r="44" spans="1:12" x14ac:dyDescent="0.3">
      <c r="A44" t="s">
        <v>13</v>
      </c>
      <c r="B44" s="1">
        <v>0</v>
      </c>
      <c r="C44" s="1">
        <v>2.41675280509904E-2</v>
      </c>
      <c r="D44" s="1">
        <v>0.19757787875520599</v>
      </c>
      <c r="E44" s="1">
        <v>1.9571414062132401E-4</v>
      </c>
      <c r="F44" s="1">
        <v>1.1908382075489399E-3</v>
      </c>
      <c r="G44" s="1">
        <v>7.67216672684298E-2</v>
      </c>
      <c r="H44" s="1">
        <f>AVERAGE(C44:G44)</f>
        <v>5.9970725284559288E-2</v>
      </c>
      <c r="I44" s="1"/>
      <c r="J44" s="1">
        <f t="shared" ref="J44:J46" si="4">MAX(C44-G44, D44-G44,E44-G44,F44-G44)</f>
        <v>0.12085621148677619</v>
      </c>
      <c r="K44" s="1">
        <f>C44</f>
        <v>2.41675280509904E-2</v>
      </c>
    </row>
    <row r="45" spans="1:12" x14ac:dyDescent="0.3">
      <c r="A45" t="s">
        <v>14</v>
      </c>
      <c r="B45" s="1">
        <v>0.68414774164557401</v>
      </c>
      <c r="C45" s="1">
        <v>0.69644595930973596</v>
      </c>
      <c r="D45" s="1">
        <v>0.68292645240823402</v>
      </c>
      <c r="E45" s="1">
        <v>0.71363739048441199</v>
      </c>
      <c r="F45" s="8">
        <v>6.08799008963008E-3</v>
      </c>
      <c r="G45" s="1">
        <v>0.68736360470453794</v>
      </c>
      <c r="H45" s="1">
        <f>AVERAGE(C45:G45)</f>
        <v>0.55729227939931003</v>
      </c>
      <c r="I45" s="1"/>
      <c r="J45" s="1">
        <f t="shared" si="4"/>
        <v>2.6273785779874048E-2</v>
      </c>
      <c r="K45" s="1">
        <f>AVERAGE(C45,D45)</f>
        <v>0.68968620585898499</v>
      </c>
    </row>
    <row r="46" spans="1:12" x14ac:dyDescent="0.3">
      <c r="A46" t="s">
        <v>15</v>
      </c>
      <c r="B46" s="1">
        <v>1.3734113525742901E-4</v>
      </c>
      <c r="C46" s="1">
        <v>3.58606652374267E-4</v>
      </c>
      <c r="D46" s="1">
        <v>6.0474014753708605E-4</v>
      </c>
      <c r="E46" s="1">
        <v>2.42190675104817E-4</v>
      </c>
      <c r="F46" s="1">
        <v>0.987341448664665</v>
      </c>
      <c r="G46" s="1">
        <v>4.9106777540449298E-4</v>
      </c>
      <c r="H46" s="1">
        <f>AVERAGE(C46:G46)</f>
        <v>0.19780761078301715</v>
      </c>
      <c r="I46" s="1"/>
      <c r="J46" s="1">
        <f t="shared" si="4"/>
        <v>0.98685038088926047</v>
      </c>
      <c r="K46" s="1">
        <f>AVERAGE(C46, D46, E46)</f>
        <v>4.0184582500539003E-4</v>
      </c>
    </row>
    <row r="47" spans="1:12" x14ac:dyDescent="0.3">
      <c r="A47" t="s">
        <v>16</v>
      </c>
      <c r="B47" s="1">
        <v>0</v>
      </c>
      <c r="C47" s="1">
        <v>3.0804972824019601E-3</v>
      </c>
      <c r="D47" s="1">
        <v>2.4019473006925699E-2</v>
      </c>
      <c r="E47" s="1">
        <v>1.06434209252862E-4</v>
      </c>
      <c r="F47" s="1">
        <v>1.2620405226092099E-3</v>
      </c>
      <c r="G47" s="1">
        <v>0.19788879000892201</v>
      </c>
      <c r="H47" s="1">
        <f>AVERAGE(C47:G47)</f>
        <v>4.5271447006022349E-2</v>
      </c>
      <c r="I47" s="1"/>
      <c r="J47" s="1"/>
      <c r="K47" s="1">
        <f>AVERAGE(C47, D47, E47,F47)</f>
        <v>7.1171112552974322E-3</v>
      </c>
    </row>
    <row r="48" spans="1:12" x14ac:dyDescent="0.3">
      <c r="A48" t="s">
        <v>1</v>
      </c>
      <c r="B48" s="1">
        <v>0.97939257323741902</v>
      </c>
      <c r="C48" s="1">
        <v>0.97930407524108798</v>
      </c>
      <c r="D48" s="1">
        <v>0.97873342037200906</v>
      </c>
      <c r="E48" s="1">
        <v>0.98066949844360296</v>
      </c>
      <c r="F48" s="1">
        <v>0.219958405941724</v>
      </c>
      <c r="G48" s="1">
        <v>0.97631995379924696</v>
      </c>
      <c r="L48" s="2">
        <f>AVERAGE(B48-G48)</f>
        <v>3.0726194381720529E-3</v>
      </c>
    </row>
    <row r="49" spans="1:12" s="5" customFormat="1" x14ac:dyDescent="0.3">
      <c r="A49" s="4" t="s">
        <v>5</v>
      </c>
      <c r="B49" s="2"/>
      <c r="C49" s="2"/>
      <c r="D49" s="2"/>
      <c r="E49" s="2"/>
      <c r="F49" s="2"/>
      <c r="G49" s="2"/>
      <c r="H49" s="2">
        <f>AVERAGE(H43:H47)</f>
        <v>0.17445067059507269</v>
      </c>
      <c r="I49" s="2">
        <f>AVERAGE(G43:G47)</f>
        <v>0.19520729675612802</v>
      </c>
      <c r="J49" s="2">
        <f>AVERAGE(J43:J46)</f>
        <v>0.28616141604574813</v>
      </c>
      <c r="K49" s="2">
        <f>AVERAGE(K43:K48)</f>
        <v>0.18034317274756956</v>
      </c>
    </row>
    <row r="51" spans="1:12" s="7" customFormat="1" x14ac:dyDescent="0.3">
      <c r="A51" s="15" t="s">
        <v>9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</row>
    <row r="52" spans="1:12" s="3" customFormat="1" ht="28.8" x14ac:dyDescent="0.3">
      <c r="B52" s="3" t="s">
        <v>0</v>
      </c>
      <c r="C52" s="3" t="s">
        <v>16</v>
      </c>
      <c r="D52" s="3" t="s">
        <v>15</v>
      </c>
      <c r="E52" s="3" t="s">
        <v>14</v>
      </c>
      <c r="F52" s="3" t="s">
        <v>13</v>
      </c>
      <c r="G52" s="3" t="s">
        <v>12</v>
      </c>
      <c r="H52" s="4" t="s">
        <v>10</v>
      </c>
      <c r="I52" s="4" t="s">
        <v>18</v>
      </c>
      <c r="J52" s="4" t="s">
        <v>11</v>
      </c>
      <c r="K52" s="4" t="s">
        <v>4</v>
      </c>
      <c r="L52" s="4" t="s">
        <v>19</v>
      </c>
    </row>
    <row r="53" spans="1:12" x14ac:dyDescent="0.3">
      <c r="A53" t="s">
        <v>17</v>
      </c>
      <c r="B53" s="1">
        <v>0</v>
      </c>
      <c r="C53" s="1">
        <v>0.511857553074757</v>
      </c>
      <c r="D53" s="1">
        <v>1.28706667358831E-3</v>
      </c>
      <c r="E53" s="1">
        <v>2.5797599907188303E-4</v>
      </c>
      <c r="F53" s="1">
        <v>7.7047764409144195E-2</v>
      </c>
      <c r="G53" s="1">
        <v>2.9284667106670201E-2</v>
      </c>
      <c r="H53" s="1">
        <f>AVERAGE(C53:G53)</f>
        <v>0.12394700545264632</v>
      </c>
      <c r="I53" s="1"/>
      <c r="J53" s="1">
        <f>MAX(C53-G53, D53-G53,E53-G53,F53-G53)</f>
        <v>0.48257288596808678</v>
      </c>
      <c r="K53" s="1"/>
    </row>
    <row r="54" spans="1:12" x14ac:dyDescent="0.3">
      <c r="A54" t="s">
        <v>15</v>
      </c>
      <c r="B54" s="1">
        <v>1.3723343806759601E-4</v>
      </c>
      <c r="C54" s="1">
        <v>2.7064519000911399E-4</v>
      </c>
      <c r="D54" s="1">
        <v>0.98011126865943199</v>
      </c>
      <c r="E54" s="1">
        <v>2.8498944148698898E-4</v>
      </c>
      <c r="F54" s="1">
        <v>3.9663432865684901E-4</v>
      </c>
      <c r="G54" s="1">
        <v>2.3616286633417301E-4</v>
      </c>
      <c r="H54" s="1">
        <f>AVERAGE(C54:G54)</f>
        <v>0.19625994009718384</v>
      </c>
      <c r="I54" s="1"/>
      <c r="J54" s="1">
        <f t="shared" ref="J54:J56" si="5">MAX(C54-G54, D54-G54,E54-G54,F54-G54)</f>
        <v>0.97987510579309778</v>
      </c>
      <c r="K54" s="1">
        <f>C54</f>
        <v>2.7064519000911399E-4</v>
      </c>
    </row>
    <row r="55" spans="1:12" x14ac:dyDescent="0.3">
      <c r="A55" t="s">
        <v>14</v>
      </c>
      <c r="B55" s="1">
        <v>0.68415092180172599</v>
      </c>
      <c r="C55" s="1">
        <v>0.64350967730084996</v>
      </c>
      <c r="D55" s="8">
        <v>6.1918391438666696E-3</v>
      </c>
      <c r="E55" s="1">
        <v>0.74793407817681601</v>
      </c>
      <c r="F55" s="1">
        <v>0.488042397424578</v>
      </c>
      <c r="G55" s="1">
        <v>0.48986410473783798</v>
      </c>
      <c r="H55" s="1">
        <f>AVERAGE(C55:G55)</f>
        <v>0.47510841935678971</v>
      </c>
      <c r="I55" s="1"/>
      <c r="J55" s="1">
        <f t="shared" si="5"/>
        <v>0.25806997343897803</v>
      </c>
      <c r="K55" s="1">
        <f>AVERAGE(C55,D55)</f>
        <v>0.32485075822235832</v>
      </c>
    </row>
    <row r="56" spans="1:12" x14ac:dyDescent="0.3">
      <c r="A56" t="s">
        <v>13</v>
      </c>
      <c r="B56" s="1">
        <v>0</v>
      </c>
      <c r="C56" s="1">
        <v>0.104828719432892</v>
      </c>
      <c r="D56" s="1">
        <v>1.2113158009015E-3</v>
      </c>
      <c r="E56" s="1">
        <v>1.0296594209648899E-3</v>
      </c>
      <c r="F56" s="1">
        <v>0.51553703099489201</v>
      </c>
      <c r="G56" s="1">
        <v>0.240985282657978</v>
      </c>
      <c r="H56" s="1">
        <f>AVERAGE(C56:G56)</f>
        <v>0.17271840166152569</v>
      </c>
      <c r="I56" s="1"/>
      <c r="J56" s="1">
        <f t="shared" si="5"/>
        <v>0.27455174833691398</v>
      </c>
      <c r="K56" s="1">
        <f>AVERAGE(C56, D56, E56)</f>
        <v>3.5689898218252795E-2</v>
      </c>
    </row>
    <row r="57" spans="1:12" x14ac:dyDescent="0.3">
      <c r="A57" t="s">
        <v>12</v>
      </c>
      <c r="B57" s="1">
        <v>0</v>
      </c>
      <c r="C57" s="1">
        <v>3.3798585645854399E-3</v>
      </c>
      <c r="D57" s="1">
        <v>1.3767816878195499E-3</v>
      </c>
      <c r="E57" s="1">
        <v>4.2637939623091299E-4</v>
      </c>
      <c r="F57" s="1">
        <v>9.0148608343345801E-2</v>
      </c>
      <c r="G57" s="1">
        <v>0.59937477856874399</v>
      </c>
      <c r="H57" s="1">
        <f>AVERAGE(C57:G57)</f>
        <v>0.13894128131214514</v>
      </c>
      <c r="I57" s="1"/>
      <c r="J57" s="1"/>
      <c r="K57" s="1">
        <f>AVERAGE(C57, D57, E57,F57)</f>
        <v>2.3832906997995427E-2</v>
      </c>
    </row>
    <row r="58" spans="1:12" x14ac:dyDescent="0.3">
      <c r="A58" t="s">
        <v>1</v>
      </c>
      <c r="B58" s="1">
        <v>0.97939328849315599</v>
      </c>
      <c r="C58" s="1">
        <v>0.95969225466251296</v>
      </c>
      <c r="D58" s="1">
        <v>0.22939470782876001</v>
      </c>
      <c r="E58" s="1">
        <v>0.98004531860351496</v>
      </c>
      <c r="F58" s="1">
        <v>0.89908768236637104</v>
      </c>
      <c r="G58" s="1">
        <v>0.94319154322147303</v>
      </c>
      <c r="L58" s="2">
        <f>AVERAGE(B58-G58)</f>
        <v>3.6201745271682961E-2</v>
      </c>
    </row>
    <row r="59" spans="1:12" s="5" customFormat="1" x14ac:dyDescent="0.3">
      <c r="A59" s="4" t="s">
        <v>5</v>
      </c>
      <c r="B59" s="2"/>
      <c r="C59" s="2"/>
      <c r="D59" s="2"/>
      <c r="E59" s="2"/>
      <c r="F59" s="2"/>
      <c r="G59" s="2"/>
      <c r="H59" s="2">
        <f>AVERAGE(H53:H57)</f>
        <v>0.22139500957605812</v>
      </c>
      <c r="I59" s="2">
        <f>AVERAGE(G53:G57)</f>
        <v>0.27194899918751292</v>
      </c>
      <c r="J59" s="2">
        <f>AVERAGE(J53:J56)</f>
        <v>0.49876742838426913</v>
      </c>
      <c r="K59" s="2">
        <f>AVERAGE(K53:K58)</f>
        <v>9.6161052157153926E-2</v>
      </c>
    </row>
  </sheetData>
  <mergeCells count="6">
    <mergeCell ref="A31:L31"/>
    <mergeCell ref="A41:L41"/>
    <mergeCell ref="A51:L51"/>
    <mergeCell ref="A1:L1"/>
    <mergeCell ref="A11:L11"/>
    <mergeCell ref="A21:L21"/>
  </mergeCells>
  <conditionalFormatting sqref="B3:G8">
    <cfRule type="cellIs" dxfId="54" priority="26" operator="between">
      <formula>0.1</formula>
      <formula>0.2</formula>
    </cfRule>
    <cfRule type="cellIs" dxfId="53" priority="27" operator="between">
      <formula>0.2</formula>
      <formula>0.4</formula>
    </cfRule>
    <cfRule type="cellIs" dxfId="52" priority="28" operator="between">
      <formula>0.4</formula>
      <formula>0.6</formula>
    </cfRule>
    <cfRule type="cellIs" dxfId="51" priority="29" operator="between">
      <formula>0.6</formula>
      <formula>0.8</formula>
    </cfRule>
    <cfRule type="cellIs" dxfId="50" priority="30" operator="between">
      <formula>0.8</formula>
      <formula>1</formula>
    </cfRule>
  </conditionalFormatting>
  <conditionalFormatting sqref="B13:G18">
    <cfRule type="cellIs" dxfId="49" priority="21" operator="between">
      <formula>0.1</formula>
      <formula>0.2</formula>
    </cfRule>
    <cfRule type="cellIs" dxfId="48" priority="22" operator="between">
      <formula>0.2</formula>
      <formula>0.4</formula>
    </cfRule>
    <cfRule type="cellIs" dxfId="47" priority="23" operator="between">
      <formula>0.4</formula>
      <formula>0.6</formula>
    </cfRule>
    <cfRule type="cellIs" dxfId="46" priority="24" operator="between">
      <formula>0.6</formula>
      <formula>0.8</formula>
    </cfRule>
    <cfRule type="cellIs" dxfId="45" priority="25" operator="between">
      <formula>0.8</formula>
      <formula>1</formula>
    </cfRule>
  </conditionalFormatting>
  <conditionalFormatting sqref="B23:G28">
    <cfRule type="cellIs" dxfId="44" priority="16" operator="between">
      <formula>0.1</formula>
      <formula>0.2</formula>
    </cfRule>
    <cfRule type="cellIs" dxfId="43" priority="17" operator="between">
      <formula>0.2</formula>
      <formula>0.4</formula>
    </cfRule>
    <cfRule type="cellIs" dxfId="42" priority="18" operator="between">
      <formula>0.4</formula>
      <formula>0.6</formula>
    </cfRule>
    <cfRule type="cellIs" dxfId="41" priority="19" operator="between">
      <formula>0.6</formula>
      <formula>0.8</formula>
    </cfRule>
    <cfRule type="cellIs" dxfId="40" priority="20" operator="between">
      <formula>0.8</formula>
      <formula>1</formula>
    </cfRule>
  </conditionalFormatting>
  <conditionalFormatting sqref="B33:G38">
    <cfRule type="cellIs" dxfId="39" priority="11" operator="between">
      <formula>0.1</formula>
      <formula>0.2</formula>
    </cfRule>
    <cfRule type="cellIs" dxfId="38" priority="12" operator="between">
      <formula>0.2</formula>
      <formula>0.4</formula>
    </cfRule>
    <cfRule type="cellIs" dxfId="37" priority="13" operator="between">
      <formula>0.4</formula>
      <formula>0.6</formula>
    </cfRule>
    <cfRule type="cellIs" dxfId="36" priority="14" operator="between">
      <formula>0.6</formula>
      <formula>0.8</formula>
    </cfRule>
    <cfRule type="cellIs" dxfId="35" priority="15" operator="between">
      <formula>0.8</formula>
      <formula>1</formula>
    </cfRule>
  </conditionalFormatting>
  <conditionalFormatting sqref="B43:G48">
    <cfRule type="cellIs" dxfId="34" priority="6" operator="between">
      <formula>0.1</formula>
      <formula>0.2</formula>
    </cfRule>
    <cfRule type="cellIs" dxfId="33" priority="7" operator="between">
      <formula>0.2</formula>
      <formula>0.4</formula>
    </cfRule>
    <cfRule type="cellIs" dxfId="32" priority="8" operator="between">
      <formula>0.4</formula>
      <formula>0.6</formula>
    </cfRule>
    <cfRule type="cellIs" dxfId="31" priority="9" operator="between">
      <formula>0.6</formula>
      <formula>0.8</formula>
    </cfRule>
    <cfRule type="cellIs" dxfId="30" priority="10" operator="between">
      <formula>0.8</formula>
      <formula>1</formula>
    </cfRule>
  </conditionalFormatting>
  <conditionalFormatting sqref="B53:G58">
    <cfRule type="cellIs" dxfId="29" priority="1" operator="between">
      <formula>0.1</formula>
      <formula>0.2</formula>
    </cfRule>
    <cfRule type="cellIs" dxfId="28" priority="2" operator="between">
      <formula>0.2</formula>
      <formula>0.4</formula>
    </cfRule>
    <cfRule type="cellIs" dxfId="27" priority="3" operator="between">
      <formula>0.4</formula>
      <formula>0.6</formula>
    </cfRule>
    <cfRule type="cellIs" dxfId="26" priority="4" operator="between">
      <formula>0.6</formula>
      <formula>0.8</formula>
    </cfRule>
    <cfRule type="cellIs" dxfId="25" priority="5" operator="between">
      <formula>0.8</formula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34F17-EBEA-4375-B19F-721DE920AD42}">
  <dimension ref="A1:M32"/>
  <sheetViews>
    <sheetView workbookViewId="0">
      <selection activeCell="M20" activeCellId="1" sqref="M9 M20"/>
    </sheetView>
  </sheetViews>
  <sheetFormatPr defaultRowHeight="14.4" x14ac:dyDescent="0.3"/>
  <cols>
    <col min="1" max="1" width="18.21875" style="3" bestFit="1" customWidth="1"/>
    <col min="2" max="2" width="9.44140625" bestFit="1" customWidth="1"/>
    <col min="3" max="3" width="11.44140625" bestFit="1" customWidth="1"/>
    <col min="4" max="4" width="11.33203125" bestFit="1" customWidth="1"/>
    <col min="5" max="5" width="7.6640625" bestFit="1" customWidth="1"/>
    <col min="6" max="6" width="7.21875" bestFit="1" customWidth="1"/>
    <col min="7" max="7" width="14.6640625" bestFit="1" customWidth="1"/>
    <col min="8" max="8" width="14.6640625" customWidth="1"/>
    <col min="9" max="9" width="11.88671875" bestFit="1" customWidth="1"/>
    <col min="10" max="10" width="11.88671875" customWidth="1"/>
    <col min="11" max="11" width="9.5546875" bestFit="1" customWidth="1"/>
    <col min="12" max="12" width="7.88671875" bestFit="1" customWidth="1"/>
    <col min="13" max="13" width="13.88671875" bestFit="1" customWidth="1"/>
  </cols>
  <sheetData>
    <row r="1" spans="1:13" s="6" customForma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s="3" customFormat="1" ht="28.8" x14ac:dyDescent="0.3">
      <c r="B2" s="3" t="s">
        <v>0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24</v>
      </c>
      <c r="I2" s="4" t="s">
        <v>10</v>
      </c>
      <c r="J2" s="4" t="s">
        <v>18</v>
      </c>
      <c r="K2" s="4" t="s">
        <v>11</v>
      </c>
      <c r="L2" s="4" t="s">
        <v>4</v>
      </c>
      <c r="M2" s="4" t="s">
        <v>19</v>
      </c>
    </row>
    <row r="3" spans="1:13" x14ac:dyDescent="0.3">
      <c r="A3" t="s">
        <v>12</v>
      </c>
      <c r="B3" s="1">
        <v>0</v>
      </c>
      <c r="C3" s="1">
        <v>0.45270412104825097</v>
      </c>
      <c r="D3" s="1">
        <v>0.31627560531099602</v>
      </c>
      <c r="E3" s="1">
        <v>0.101938004915912</v>
      </c>
      <c r="F3" s="1">
        <v>0.11073881584161401</v>
      </c>
      <c r="G3" s="1">
        <v>0.24201513081789</v>
      </c>
      <c r="H3" s="1">
        <v>1.5212982711091101E-2</v>
      </c>
      <c r="I3" s="1">
        <f t="shared" ref="I3:I8" si="0">AVERAGE(C3:H3)</f>
        <v>0.20648077677429236</v>
      </c>
      <c r="J3" s="1"/>
      <c r="K3" s="1">
        <f>MAX(C3-H3, D3-H3,E3-H3,F3-H3, G3 - H3)</f>
        <v>0.43749113833715986</v>
      </c>
      <c r="L3" s="1"/>
    </row>
    <row r="4" spans="1:13" x14ac:dyDescent="0.3">
      <c r="A4" t="s">
        <v>13</v>
      </c>
      <c r="B4" s="1">
        <v>0</v>
      </c>
      <c r="C4" s="1">
        <v>0.24097093276213799</v>
      </c>
      <c r="D4" s="1">
        <v>0.53141282126307399</v>
      </c>
      <c r="E4" s="1">
        <v>0.164410493336617</v>
      </c>
      <c r="F4" s="1">
        <v>5.75049914477858E-2</v>
      </c>
      <c r="G4" s="1">
        <v>0.289491051807999</v>
      </c>
      <c r="H4" s="1">
        <v>1.0269031048968201E-2</v>
      </c>
      <c r="I4" s="1">
        <f t="shared" si="0"/>
        <v>0.21567655361109697</v>
      </c>
      <c r="J4" s="1"/>
      <c r="K4" s="1">
        <f t="shared" ref="K4:K5" si="1">MAX(C4-H4, D4-H4,E4-H4,F4-H4, G4 - H4)</f>
        <v>0.52114379021410584</v>
      </c>
      <c r="L4" s="1">
        <f>C4</f>
        <v>0.24097093276213799</v>
      </c>
    </row>
    <row r="5" spans="1:13" x14ac:dyDescent="0.3">
      <c r="A5" t="s">
        <v>14</v>
      </c>
      <c r="B5" s="1">
        <v>0.68415092180172599</v>
      </c>
      <c r="C5" s="1">
        <v>0.63344719881812706</v>
      </c>
      <c r="D5" s="1">
        <v>0.417220420514543</v>
      </c>
      <c r="E5" s="1">
        <v>0.73202871779600698</v>
      </c>
      <c r="F5" s="1">
        <v>0.62978993356227797</v>
      </c>
      <c r="G5" s="1">
        <v>0.63855846226215296</v>
      </c>
      <c r="H5" s="1">
        <v>0.358027603477239</v>
      </c>
      <c r="I5" s="1">
        <f t="shared" si="0"/>
        <v>0.56817872273839121</v>
      </c>
      <c r="J5" s="1"/>
      <c r="K5" s="1">
        <f t="shared" si="1"/>
        <v>0.37400111431876798</v>
      </c>
      <c r="L5" s="1">
        <f>AVERAGE(C5,D5)</f>
        <v>0.52533380966633503</v>
      </c>
    </row>
    <row r="6" spans="1:13" x14ac:dyDescent="0.3">
      <c r="A6" t="s">
        <v>15</v>
      </c>
      <c r="B6" s="1">
        <v>0</v>
      </c>
      <c r="C6" s="1">
        <v>1.42607476309422E-2</v>
      </c>
      <c r="D6" s="1">
        <v>1.49516664896509E-3</v>
      </c>
      <c r="E6" s="1">
        <v>8.1789884673829204E-3</v>
      </c>
      <c r="F6" s="1">
        <v>0.483783873108526</v>
      </c>
      <c r="G6" s="1">
        <v>0.229635610299737</v>
      </c>
      <c r="H6" s="1">
        <v>2.3936378337414899E-2</v>
      </c>
      <c r="I6" s="1">
        <f t="shared" si="0"/>
        <v>0.12688179408216135</v>
      </c>
      <c r="J6" s="1"/>
      <c r="K6" s="1">
        <f>MAX(C6-H6, D6-H6,E6-H6,F6-H6, G6 - H6)</f>
        <v>0.45984749477111109</v>
      </c>
      <c r="L6" s="1">
        <f>AVERAGE(C6, D6, E6)</f>
        <v>7.9783009157634033E-3</v>
      </c>
    </row>
    <row r="7" spans="1:13" x14ac:dyDescent="0.3">
      <c r="A7" t="s">
        <v>16</v>
      </c>
      <c r="B7" s="1">
        <v>0</v>
      </c>
      <c r="C7" s="1">
        <v>3.3899215612715701E-2</v>
      </c>
      <c r="D7" s="1">
        <v>4.4186410733042601E-2</v>
      </c>
      <c r="E7" s="1">
        <v>7.1471064610401897E-2</v>
      </c>
      <c r="F7" s="1">
        <v>3.44880434096618E-2</v>
      </c>
      <c r="G7" s="1">
        <v>0.49037269999583499</v>
      </c>
      <c r="H7" s="1">
        <v>0.36342936688257999</v>
      </c>
      <c r="I7" s="1">
        <f t="shared" si="0"/>
        <v>0.1729744668740395</v>
      </c>
      <c r="J7" s="1"/>
      <c r="K7" s="1">
        <f>MAX(C7-H7, D7-H7,E7-H7,F7-H7, G7 - H7)</f>
        <v>0.12694333311325501</v>
      </c>
      <c r="L7" s="1">
        <f>AVERAGE(C7, D7, E7,F7)</f>
        <v>4.60111835914555E-2</v>
      </c>
    </row>
    <row r="8" spans="1:13" x14ac:dyDescent="0.3">
      <c r="A8" t="s">
        <v>24</v>
      </c>
      <c r="B8" s="1">
        <v>0</v>
      </c>
      <c r="C8" s="1">
        <v>2.91730769968125E-2</v>
      </c>
      <c r="D8" s="1">
        <v>9.3416746713046398E-3</v>
      </c>
      <c r="E8" s="1">
        <v>1.56185669281209E-3</v>
      </c>
      <c r="F8" s="1">
        <v>3.50403710732886E-3</v>
      </c>
      <c r="G8" s="1">
        <v>0.100838141127799</v>
      </c>
      <c r="H8" s="1">
        <v>0.454775663713614</v>
      </c>
      <c r="I8" s="1">
        <f t="shared" si="0"/>
        <v>9.9865741718278514E-2</v>
      </c>
      <c r="J8" s="1"/>
      <c r="K8" s="1"/>
      <c r="L8" s="1">
        <f>AVERAGE(C8, D8, E8,F8, G8)</f>
        <v>2.8883757319211417E-2</v>
      </c>
    </row>
    <row r="9" spans="1:13" x14ac:dyDescent="0.3">
      <c r="A9" t="s">
        <v>1</v>
      </c>
      <c r="B9" s="1">
        <v>0.97939328849315599</v>
      </c>
      <c r="C9" s="1">
        <v>0.96893402934074402</v>
      </c>
      <c r="D9" s="1">
        <v>0.79057502746581998</v>
      </c>
      <c r="E9" s="1">
        <v>0.937250196933746</v>
      </c>
      <c r="F9" s="1">
        <v>0.67226068675518003</v>
      </c>
      <c r="G9" s="1">
        <v>0.43406907469034101</v>
      </c>
      <c r="H9" s="1">
        <v>2.1931328345090099E-2</v>
      </c>
      <c r="M9" s="2">
        <f>(B9-H9)/B9</f>
        <v>0.97760723031007024</v>
      </c>
    </row>
    <row r="10" spans="1:13" s="5" customFormat="1" x14ac:dyDescent="0.3">
      <c r="A10" s="4" t="s">
        <v>5</v>
      </c>
      <c r="B10" s="2"/>
      <c r="C10" s="2"/>
      <c r="D10" s="2"/>
      <c r="E10" s="2"/>
      <c r="F10" s="2"/>
      <c r="G10" s="2"/>
      <c r="H10" s="2"/>
      <c r="I10" s="2">
        <f>AVERAGE(I3:I8)</f>
        <v>0.23167634263304329</v>
      </c>
      <c r="J10" s="2">
        <f>AVERAGE(H3:H8)</f>
        <v>0.20427517102848455</v>
      </c>
      <c r="K10" s="2">
        <f>AVERAGE(K3:K7)</f>
        <v>0.38388537415087998</v>
      </c>
      <c r="L10" s="2">
        <f>AVERAGE(L3:L9)</f>
        <v>0.16983559685098068</v>
      </c>
    </row>
    <row r="12" spans="1:13" x14ac:dyDescent="0.3">
      <c r="A12" s="14" t="s">
        <v>30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</row>
    <row r="13" spans="1:13" ht="28.8" x14ac:dyDescent="0.3">
      <c r="B13" s="3" t="s">
        <v>0</v>
      </c>
      <c r="C13" s="3" t="s">
        <v>12</v>
      </c>
      <c r="D13" s="3" t="s">
        <v>13</v>
      </c>
      <c r="E13" s="3" t="s">
        <v>14</v>
      </c>
      <c r="F13" s="3" t="s">
        <v>15</v>
      </c>
      <c r="G13" s="3" t="s">
        <v>16</v>
      </c>
      <c r="H13" s="3" t="s">
        <v>24</v>
      </c>
      <c r="I13" s="4" t="s">
        <v>10</v>
      </c>
      <c r="J13" s="4" t="s">
        <v>18</v>
      </c>
      <c r="K13" s="4" t="s">
        <v>11</v>
      </c>
      <c r="L13" s="4" t="s">
        <v>4</v>
      </c>
      <c r="M13" s="4" t="s">
        <v>19</v>
      </c>
    </row>
    <row r="14" spans="1:13" x14ac:dyDescent="0.3">
      <c r="A14" t="s">
        <v>12</v>
      </c>
      <c r="B14" s="1">
        <v>0</v>
      </c>
      <c r="C14" s="1">
        <v>0.36103405151516199</v>
      </c>
      <c r="D14" s="1">
        <v>0.30860676709562501</v>
      </c>
      <c r="E14" s="1">
        <v>0.14210122552079399</v>
      </c>
      <c r="F14" s="1">
        <v>0.120833821227279</v>
      </c>
      <c r="G14" s="1">
        <v>0.24653147486969801</v>
      </c>
      <c r="H14" s="1">
        <v>1.4015976416582501E-2</v>
      </c>
      <c r="I14" s="1">
        <f t="shared" ref="I14:I19" si="2">AVERAGE(C14:H14)</f>
        <v>0.19885388610752341</v>
      </c>
      <c r="J14" s="1"/>
      <c r="K14" s="1">
        <f>MAX(C14-H14, D14-H14,E14-H14,F14-H14, G14 - H14)</f>
        <v>0.34701807509857951</v>
      </c>
      <c r="L14" s="1"/>
    </row>
    <row r="15" spans="1:13" x14ac:dyDescent="0.3">
      <c r="A15" t="s">
        <v>13</v>
      </c>
      <c r="B15" s="1">
        <v>0</v>
      </c>
      <c r="C15" s="1">
        <v>0.22253435535822</v>
      </c>
      <c r="D15" s="1">
        <v>0.52171062057216899</v>
      </c>
      <c r="E15" s="1">
        <v>0.223134620425601</v>
      </c>
      <c r="F15" s="1">
        <v>8.5407645097196394E-2</v>
      </c>
      <c r="G15" s="1">
        <v>0.34320070594549101</v>
      </c>
      <c r="H15" s="1">
        <v>1.18351275151932E-2</v>
      </c>
      <c r="I15" s="1">
        <f t="shared" si="2"/>
        <v>0.23463717915231172</v>
      </c>
      <c r="J15" s="1"/>
      <c r="K15" s="1">
        <f t="shared" ref="K15:K16" si="3">MAX(C15-H15, D15-H15,E15-H15,F15-H15, G15 - H15)</f>
        <v>0.50987549305697577</v>
      </c>
      <c r="L15" s="1">
        <f>C15</f>
        <v>0.22253435535822</v>
      </c>
    </row>
    <row r="16" spans="1:13" x14ac:dyDescent="0.3">
      <c r="A16" t="s">
        <v>14</v>
      </c>
      <c r="B16" s="1">
        <v>0.68415092180172599</v>
      </c>
      <c r="C16" s="1">
        <v>0.64598490670323305</v>
      </c>
      <c r="D16" s="1">
        <v>0.46830260691543402</v>
      </c>
      <c r="E16" s="1">
        <v>0.72575555865963304</v>
      </c>
      <c r="F16" s="1">
        <v>0.63415111228823595</v>
      </c>
      <c r="G16" s="1">
        <v>0.66419351597626997</v>
      </c>
      <c r="H16" s="1">
        <v>0.47797845676541301</v>
      </c>
      <c r="I16" s="1">
        <f t="shared" si="2"/>
        <v>0.60272769288470307</v>
      </c>
      <c r="J16" s="1"/>
      <c r="K16" s="1">
        <f t="shared" si="3"/>
        <v>0.24777710189422003</v>
      </c>
      <c r="L16" s="1">
        <f>AVERAGE(C16,D16)</f>
        <v>0.55714375680933359</v>
      </c>
    </row>
    <row r="17" spans="1:13" x14ac:dyDescent="0.3">
      <c r="A17" t="s">
        <v>15</v>
      </c>
      <c r="B17" s="1">
        <v>0</v>
      </c>
      <c r="C17" s="1">
        <v>2.2878103074011301E-2</v>
      </c>
      <c r="D17" s="1">
        <v>2.0173874484801899E-3</v>
      </c>
      <c r="E17" s="1">
        <v>7.9837365871450496E-3</v>
      </c>
      <c r="F17" s="1">
        <v>0.47760615528871597</v>
      </c>
      <c r="G17" s="1">
        <v>0.242673295938099</v>
      </c>
      <c r="H17" s="1">
        <v>1.3666063322792301E-2</v>
      </c>
      <c r="I17" s="1">
        <f t="shared" si="2"/>
        <v>0.12780412360987395</v>
      </c>
      <c r="J17" s="1"/>
      <c r="K17" s="1">
        <f>MAX(C17-H17, D17-H17,E17-H17,F17-H17, G17 - H17)</f>
        <v>0.46394009196592367</v>
      </c>
      <c r="L17" s="1">
        <f>AVERAGE(C17, D17, E17)</f>
        <v>1.0959742369878846E-2</v>
      </c>
    </row>
    <row r="18" spans="1:13" x14ac:dyDescent="0.3">
      <c r="A18" t="s">
        <v>16</v>
      </c>
      <c r="B18" s="1">
        <v>0</v>
      </c>
      <c r="C18" s="1">
        <v>4.2115115250150298E-2</v>
      </c>
      <c r="D18" s="1">
        <v>5.57625832188932E-2</v>
      </c>
      <c r="E18" s="1">
        <v>5.28653775691054E-2</v>
      </c>
      <c r="F18" s="1">
        <v>4.5090070872295898E-2</v>
      </c>
      <c r="G18" s="1">
        <v>0.48946853292484999</v>
      </c>
      <c r="H18" s="1">
        <v>0.37291568055904101</v>
      </c>
      <c r="I18" s="1">
        <f t="shared" si="2"/>
        <v>0.1763695600657226</v>
      </c>
      <c r="J18" s="1"/>
      <c r="K18" s="1">
        <f>MAX(C18-H18, D18-H18,E18-H18,F18-H18, G18 - H18)</f>
        <v>0.11655285236580898</v>
      </c>
      <c r="L18" s="1">
        <f>AVERAGE(C18, D18, E18,F18)</f>
        <v>4.8958286727611197E-2</v>
      </c>
    </row>
    <row r="19" spans="1:13" x14ac:dyDescent="0.3">
      <c r="A19" t="s">
        <v>24</v>
      </c>
      <c r="B19" s="1">
        <v>0</v>
      </c>
      <c r="C19" s="1">
        <v>2.58362003563282E-2</v>
      </c>
      <c r="D19" s="1">
        <v>1.38863045791974E-2</v>
      </c>
      <c r="E19" s="1">
        <v>3.8453672120037099E-3</v>
      </c>
      <c r="F19" s="1">
        <v>4.7510300493437702E-3</v>
      </c>
      <c r="G19" s="1">
        <v>8.8605651457328294E-2</v>
      </c>
      <c r="H19" s="1">
        <v>0.44281613702575301</v>
      </c>
      <c r="I19" s="1">
        <f t="shared" si="2"/>
        <v>9.6623448446659058E-2</v>
      </c>
      <c r="J19" s="1"/>
      <c r="K19" s="1"/>
      <c r="L19" s="1">
        <f>AVERAGE(C19, D19, E19,F19, G19)</f>
        <v>2.7384910730840272E-2</v>
      </c>
    </row>
    <row r="20" spans="1:13" x14ac:dyDescent="0.3">
      <c r="A20" t="s">
        <v>1</v>
      </c>
      <c r="B20" s="1">
        <v>0.97939328849315599</v>
      </c>
      <c r="C20" s="1">
        <v>0.97894500195980005</v>
      </c>
      <c r="D20" s="1">
        <v>0.94502578675746896</v>
      </c>
      <c r="E20" s="1">
        <v>0.96846006810665097</v>
      </c>
      <c r="F20" s="1">
        <v>0.91825418174266804</v>
      </c>
      <c r="G20" s="1">
        <v>0.77236297726631098</v>
      </c>
      <c r="H20" s="1">
        <v>0.14751774817705099</v>
      </c>
      <c r="M20" s="2">
        <f>(B20-H20)/B20</f>
        <v>0.84937843672176461</v>
      </c>
    </row>
    <row r="21" spans="1:13" x14ac:dyDescent="0.3">
      <c r="A21" s="4" t="s">
        <v>5</v>
      </c>
      <c r="B21" s="2"/>
      <c r="C21" s="2"/>
      <c r="D21" s="2"/>
      <c r="E21" s="2"/>
      <c r="F21" s="2"/>
      <c r="G21" s="2"/>
      <c r="H21" s="2"/>
      <c r="I21" s="2">
        <f>AVERAGE(I14:I19)</f>
        <v>0.23950264837779897</v>
      </c>
      <c r="J21" s="2">
        <f>AVERAGE(H14:H19)</f>
        <v>0.22220457360079585</v>
      </c>
      <c r="K21" s="2">
        <f>AVERAGE(K14:K18)</f>
        <v>0.33703272287630159</v>
      </c>
      <c r="L21" s="2">
        <f>AVERAGE(L14:L20)</f>
        <v>0.17339621039917677</v>
      </c>
      <c r="M21" s="5"/>
    </row>
    <row r="23" spans="1:13" x14ac:dyDescent="0.3">
      <c r="A23" s="14" t="s">
        <v>31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</row>
    <row r="24" spans="1:13" ht="28.8" x14ac:dyDescent="0.3">
      <c r="B24" s="3"/>
      <c r="C24" s="3"/>
      <c r="D24" s="3"/>
      <c r="E24" s="3"/>
      <c r="F24" s="3"/>
      <c r="G24" s="3"/>
      <c r="H24" s="3"/>
      <c r="I24" s="4" t="s">
        <v>10</v>
      </c>
      <c r="J24" s="4" t="s">
        <v>18</v>
      </c>
      <c r="K24" s="4" t="s">
        <v>11</v>
      </c>
      <c r="L24" s="4" t="s">
        <v>4</v>
      </c>
      <c r="M24" s="4" t="s">
        <v>19</v>
      </c>
    </row>
    <row r="25" spans="1:13" x14ac:dyDescent="0.3">
      <c r="A25"/>
      <c r="B25" s="1"/>
      <c r="C25" s="1"/>
      <c r="D25" s="1"/>
      <c r="E25" s="1"/>
      <c r="F25" s="1"/>
      <c r="G25" s="1"/>
      <c r="H25" s="1"/>
      <c r="I25" s="1" t="e">
        <f t="shared" ref="I25:I30" si="4">AVERAGE(C25:H25)</f>
        <v>#DIV/0!</v>
      </c>
      <c r="J25" s="1"/>
      <c r="K25" s="1">
        <f>MAX(C25-H25, D25-H25,E25-H25,F25-H25, G25 - H25)</f>
        <v>0</v>
      </c>
      <c r="L25" s="1"/>
    </row>
    <row r="26" spans="1:13" x14ac:dyDescent="0.3">
      <c r="A26"/>
      <c r="B26" s="1"/>
      <c r="C26" s="1"/>
      <c r="D26" s="1"/>
      <c r="E26" s="1"/>
      <c r="F26" s="1"/>
      <c r="G26" s="1"/>
      <c r="H26" s="1"/>
      <c r="I26" s="1" t="e">
        <f t="shared" si="4"/>
        <v>#DIV/0!</v>
      </c>
      <c r="J26" s="1"/>
      <c r="K26" s="1">
        <f t="shared" ref="K26:K27" si="5">MAX(C26-H26, D26-H26,E26-H26,F26-H26, G26 - H26)</f>
        <v>0</v>
      </c>
      <c r="L26" s="1">
        <f>C26</f>
        <v>0</v>
      </c>
    </row>
    <row r="27" spans="1:13" x14ac:dyDescent="0.3">
      <c r="A27"/>
      <c r="B27" s="1"/>
      <c r="C27" s="1"/>
      <c r="D27" s="1"/>
      <c r="E27" s="1"/>
      <c r="F27" s="1"/>
      <c r="G27" s="1"/>
      <c r="H27" s="1"/>
      <c r="I27" s="1" t="e">
        <f t="shared" si="4"/>
        <v>#DIV/0!</v>
      </c>
      <c r="J27" s="1"/>
      <c r="K27" s="1">
        <f t="shared" si="5"/>
        <v>0</v>
      </c>
      <c r="L27" s="1" t="e">
        <f>AVERAGE(C27,D27)</f>
        <v>#DIV/0!</v>
      </c>
    </row>
    <row r="28" spans="1:13" x14ac:dyDescent="0.3">
      <c r="A28"/>
      <c r="B28" s="1"/>
      <c r="C28" s="1"/>
      <c r="D28" s="1"/>
      <c r="E28" s="1"/>
      <c r="F28" s="1"/>
      <c r="G28" s="1"/>
      <c r="H28" s="1"/>
      <c r="I28" s="1" t="e">
        <f t="shared" si="4"/>
        <v>#DIV/0!</v>
      </c>
      <c r="J28" s="1"/>
      <c r="K28" s="1">
        <f>MAX(C28-H28, D28-H28,E28-H28,F28-H28, G28 - H28)</f>
        <v>0</v>
      </c>
      <c r="L28" s="1" t="e">
        <f>AVERAGE(C28, D28, E28)</f>
        <v>#DIV/0!</v>
      </c>
    </row>
    <row r="29" spans="1:13" x14ac:dyDescent="0.3">
      <c r="A29"/>
      <c r="B29" s="1"/>
      <c r="C29" s="1"/>
      <c r="D29" s="1"/>
      <c r="E29" s="1"/>
      <c r="F29" s="1"/>
      <c r="G29" s="1"/>
      <c r="H29" s="1"/>
      <c r="I29" s="1" t="e">
        <f t="shared" si="4"/>
        <v>#DIV/0!</v>
      </c>
      <c r="J29" s="1"/>
      <c r="K29" s="1">
        <f>MAX(C29-H29, D29-H29,E29-H29,F29-H29, G29 - H29)</f>
        <v>0</v>
      </c>
      <c r="L29" s="1" t="e">
        <f>AVERAGE(C29, D29, E29,F29)</f>
        <v>#DIV/0!</v>
      </c>
    </row>
    <row r="30" spans="1:13" x14ac:dyDescent="0.3">
      <c r="A30"/>
      <c r="B30" s="1"/>
      <c r="C30" s="1"/>
      <c r="D30" s="1"/>
      <c r="E30" s="1"/>
      <c r="F30" s="1"/>
      <c r="G30" s="1"/>
      <c r="H30" s="1"/>
      <c r="I30" s="1" t="e">
        <f t="shared" si="4"/>
        <v>#DIV/0!</v>
      </c>
      <c r="J30" s="1"/>
      <c r="K30" s="1"/>
      <c r="L30" s="1" t="e">
        <f>AVERAGE(C30, D30, E30,F30, G30)</f>
        <v>#DIV/0!</v>
      </c>
    </row>
    <row r="31" spans="1:13" x14ac:dyDescent="0.3">
      <c r="A31"/>
      <c r="B31" s="1"/>
      <c r="C31" s="1"/>
      <c r="D31" s="1"/>
      <c r="E31" s="1"/>
      <c r="F31" s="1"/>
      <c r="G31" s="1"/>
      <c r="H31" s="1"/>
      <c r="M31" s="2" t="e">
        <f>(B31-H31)/B31</f>
        <v>#DIV/0!</v>
      </c>
    </row>
    <row r="32" spans="1:13" x14ac:dyDescent="0.3">
      <c r="A32" s="4" t="s">
        <v>5</v>
      </c>
      <c r="B32" s="2"/>
      <c r="C32" s="2"/>
      <c r="D32" s="2"/>
      <c r="E32" s="2"/>
      <c r="F32" s="2"/>
      <c r="G32" s="2"/>
      <c r="H32" s="2"/>
      <c r="I32" s="2" t="e">
        <f>AVERAGE(I25:I30)</f>
        <v>#DIV/0!</v>
      </c>
      <c r="J32" s="2" t="e">
        <f>AVERAGE(H25:H30)</f>
        <v>#DIV/0!</v>
      </c>
      <c r="K32" s="2">
        <f>AVERAGE(K25:K29)</f>
        <v>0</v>
      </c>
      <c r="L32" s="2" t="e">
        <f>AVERAGE(L25:L31)</f>
        <v>#DIV/0!</v>
      </c>
      <c r="M32" s="5"/>
    </row>
  </sheetData>
  <mergeCells count="3">
    <mergeCell ref="A1:M1"/>
    <mergeCell ref="A12:M12"/>
    <mergeCell ref="A23:M23"/>
  </mergeCells>
  <conditionalFormatting sqref="B3:H9">
    <cfRule type="cellIs" dxfId="24" priority="11" operator="between">
      <formula>0.1</formula>
      <formula>0.2</formula>
    </cfRule>
    <cfRule type="cellIs" dxfId="23" priority="12" operator="between">
      <formula>0.2</formula>
      <formula>0.4</formula>
    </cfRule>
    <cfRule type="cellIs" dxfId="22" priority="13" operator="between">
      <formula>0.4</formula>
      <formula>0.6</formula>
    </cfRule>
    <cfRule type="cellIs" dxfId="21" priority="14" operator="between">
      <formula>0.6</formula>
      <formula>0.8</formula>
    </cfRule>
    <cfRule type="cellIs" dxfId="20" priority="15" operator="between">
      <formula>0.8</formula>
      <formula>1</formula>
    </cfRule>
  </conditionalFormatting>
  <conditionalFormatting sqref="B14:H20">
    <cfRule type="cellIs" dxfId="19" priority="6" operator="between">
      <formula>0.1</formula>
      <formula>0.2</formula>
    </cfRule>
    <cfRule type="cellIs" dxfId="18" priority="7" operator="between">
      <formula>0.2</formula>
      <formula>0.4</formula>
    </cfRule>
    <cfRule type="cellIs" dxfId="17" priority="8" operator="between">
      <formula>0.4</formula>
      <formula>0.6</formula>
    </cfRule>
    <cfRule type="cellIs" dxfId="16" priority="9" operator="between">
      <formula>0.6</formula>
      <formula>0.8</formula>
    </cfRule>
    <cfRule type="cellIs" dxfId="15" priority="10" operator="between">
      <formula>0.8</formula>
      <formula>1</formula>
    </cfRule>
  </conditionalFormatting>
  <conditionalFormatting sqref="B25:H31">
    <cfRule type="cellIs" dxfId="14" priority="1" operator="between">
      <formula>0.1</formula>
      <formula>0.2</formula>
    </cfRule>
    <cfRule type="cellIs" dxfId="13" priority="2" operator="between">
      <formula>0.2</formula>
      <formula>0.4</formula>
    </cfRule>
    <cfRule type="cellIs" dxfId="12" priority="3" operator="between">
      <formula>0.4</formula>
      <formula>0.6</formula>
    </cfRule>
    <cfRule type="cellIs" dxfId="11" priority="4" operator="between">
      <formula>0.6</formula>
      <formula>0.8</formula>
    </cfRule>
    <cfRule type="cellIs" dxfId="10" priority="5" operator="between">
      <formula>0.8</formula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9B138-C37C-4C0C-8D2C-00B0E4CD9A1B}">
  <dimension ref="A1:M10"/>
  <sheetViews>
    <sheetView workbookViewId="0">
      <selection activeCell="M9" sqref="M9"/>
    </sheetView>
  </sheetViews>
  <sheetFormatPr defaultRowHeight="14.4" x14ac:dyDescent="0.3"/>
  <cols>
    <col min="1" max="1" width="23.77734375" customWidth="1"/>
    <col min="2" max="2" width="14.77734375" customWidth="1"/>
    <col min="3" max="3" width="11.77734375" customWidth="1"/>
    <col min="4" max="4" width="11.33203125" bestFit="1" customWidth="1"/>
    <col min="7" max="7" width="14.6640625" bestFit="1" customWidth="1"/>
    <col min="8" max="8" width="14.77734375" bestFit="1" customWidth="1"/>
    <col min="9" max="9" width="12.6640625" customWidth="1"/>
    <col min="10" max="10" width="16.33203125" customWidth="1"/>
    <col min="11" max="11" width="12.21875" customWidth="1"/>
    <col min="13" max="13" width="14.21875" customWidth="1"/>
  </cols>
  <sheetData>
    <row r="1" spans="1:13" x14ac:dyDescent="0.3">
      <c r="A1" s="14" t="s">
        <v>32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3.2" customHeight="1" x14ac:dyDescent="0.3">
      <c r="A2" s="3"/>
      <c r="B2" s="3" t="s">
        <v>0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24</v>
      </c>
      <c r="I2" s="4" t="s">
        <v>10</v>
      </c>
      <c r="J2" s="4" t="s">
        <v>18</v>
      </c>
      <c r="K2" s="4" t="s">
        <v>11</v>
      </c>
      <c r="L2" s="4" t="s">
        <v>4</v>
      </c>
      <c r="M2" s="4" t="s">
        <v>19</v>
      </c>
    </row>
    <row r="3" spans="1:13" x14ac:dyDescent="0.3">
      <c r="A3" t="s">
        <v>12</v>
      </c>
      <c r="B3" s="1">
        <v>0</v>
      </c>
      <c r="C3" s="1">
        <v>0.63506101444363505</v>
      </c>
      <c r="D3" s="1">
        <v>0.63506101444363505</v>
      </c>
      <c r="E3" s="1">
        <v>0.63506101444363505</v>
      </c>
      <c r="F3" s="1">
        <v>0.63506101444363505</v>
      </c>
      <c r="G3" s="1">
        <v>0.63506101444363505</v>
      </c>
      <c r="H3" s="1">
        <v>0.63506101444363505</v>
      </c>
      <c r="I3" s="1">
        <f t="shared" ref="I3:I8" si="0">AVERAGE(C3:H3)</f>
        <v>0.63506101444363505</v>
      </c>
      <c r="J3" s="1"/>
      <c r="K3" s="1">
        <f>MAX(C3-H3, D3-H3,E3-H3,F3-H3, G3 - H3)</f>
        <v>0</v>
      </c>
      <c r="L3" s="1"/>
    </row>
    <row r="4" spans="1:13" x14ac:dyDescent="0.3">
      <c r="A4" t="s">
        <v>13</v>
      </c>
      <c r="B4" s="1">
        <v>0</v>
      </c>
      <c r="C4" s="1">
        <v>0.16261002170600999</v>
      </c>
      <c r="D4" s="1">
        <v>0.52669121138751496</v>
      </c>
      <c r="E4" s="1">
        <v>0.52669121138751496</v>
      </c>
      <c r="F4" s="1">
        <v>0.52669121138751496</v>
      </c>
      <c r="G4" s="1">
        <v>0.52669121138751496</v>
      </c>
      <c r="H4" s="1">
        <v>0.52669121138751496</v>
      </c>
      <c r="I4" s="1">
        <f t="shared" si="0"/>
        <v>0.46601101310726417</v>
      </c>
      <c r="J4" s="1"/>
      <c r="K4" s="1">
        <f t="shared" ref="K4:K5" si="1">MAX(C4-H4, D4-H4,E4-H4,F4-H4, G4 - H4)</f>
        <v>0</v>
      </c>
      <c r="L4" s="1">
        <f>C4</f>
        <v>0.16261002170600999</v>
      </c>
    </row>
    <row r="5" spans="1:13" x14ac:dyDescent="0.3">
      <c r="A5" t="s">
        <v>14</v>
      </c>
      <c r="B5" s="1">
        <v>0.68414774164557401</v>
      </c>
      <c r="C5" s="1">
        <v>0.439590120377639</v>
      </c>
      <c r="D5" s="1">
        <v>0.46977181049684602</v>
      </c>
      <c r="E5" s="1">
        <v>0.77389784405628803</v>
      </c>
      <c r="F5" s="1">
        <v>0.77389784405628803</v>
      </c>
      <c r="G5" s="1">
        <v>0.77389784405628803</v>
      </c>
      <c r="H5" s="1">
        <v>0.77389784405628803</v>
      </c>
      <c r="I5" s="1">
        <f t="shared" si="0"/>
        <v>0.66749221784993951</v>
      </c>
      <c r="J5" s="1"/>
      <c r="K5" s="1">
        <f t="shared" si="1"/>
        <v>0</v>
      </c>
      <c r="L5" s="1">
        <f>AVERAGE(C5,D5)</f>
        <v>0.45468096543724251</v>
      </c>
    </row>
    <row r="6" spans="1:13" x14ac:dyDescent="0.3">
      <c r="A6" t="s">
        <v>15</v>
      </c>
      <c r="B6" s="1">
        <v>0</v>
      </c>
      <c r="C6" s="1">
        <v>1.9809007341488401E-3</v>
      </c>
      <c r="D6" s="1">
        <v>1.86816219381095E-3</v>
      </c>
      <c r="E6" s="1">
        <v>0</v>
      </c>
      <c r="F6" s="1">
        <v>0</v>
      </c>
      <c r="G6" s="1">
        <v>0</v>
      </c>
      <c r="H6" s="1">
        <v>0</v>
      </c>
      <c r="I6" s="1">
        <f t="shared" si="0"/>
        <v>6.4151048799329831E-4</v>
      </c>
      <c r="J6" s="1"/>
      <c r="K6" s="1">
        <f>MAX(C6-H6, D6-H6,E6-H6,F6-H6, G6 - H6)</f>
        <v>1.9809007341488401E-3</v>
      </c>
      <c r="L6" s="1">
        <f>AVERAGE(C6, D6, E6)</f>
        <v>1.2830209759865966E-3</v>
      </c>
    </row>
    <row r="7" spans="1:13" x14ac:dyDescent="0.3">
      <c r="A7" t="s">
        <v>16</v>
      </c>
      <c r="B7" s="1">
        <v>0</v>
      </c>
      <c r="C7" s="1">
        <v>1.2072987117183701E-2</v>
      </c>
      <c r="D7" s="1">
        <v>4.2311725895463802E-2</v>
      </c>
      <c r="E7" s="1">
        <v>4.7487154612705702E-4</v>
      </c>
      <c r="F7" s="1">
        <v>0</v>
      </c>
      <c r="G7" s="1">
        <v>0.57176219051082899</v>
      </c>
      <c r="H7" s="1">
        <v>0.57176219051082899</v>
      </c>
      <c r="I7" s="1">
        <f t="shared" si="0"/>
        <v>0.19973066093007211</v>
      </c>
      <c r="J7" s="1"/>
      <c r="K7" s="1">
        <f>MAX(C7-H7, D7-H7,E7-H7,F7-H7, G7 - H7)</f>
        <v>0</v>
      </c>
      <c r="L7" s="1">
        <f>AVERAGE(C7, D7, E7,F7)</f>
        <v>1.3714896139693639E-2</v>
      </c>
    </row>
    <row r="8" spans="1:13" x14ac:dyDescent="0.3">
      <c r="A8" t="s">
        <v>24</v>
      </c>
      <c r="B8" s="1">
        <v>0</v>
      </c>
      <c r="C8" s="1">
        <v>3.2793386946044202E-2</v>
      </c>
      <c r="D8" s="1">
        <v>5.9277288240385398E-3</v>
      </c>
      <c r="E8" s="1">
        <v>0</v>
      </c>
      <c r="F8" s="1">
        <v>0</v>
      </c>
      <c r="G8" s="1">
        <v>2.0445141169754301E-2</v>
      </c>
      <c r="H8" s="1">
        <v>0.40144884524246</v>
      </c>
      <c r="I8" s="1">
        <f t="shared" si="0"/>
        <v>7.6769183697049506E-2</v>
      </c>
      <c r="J8" s="1"/>
      <c r="K8" s="1"/>
      <c r="L8" s="1">
        <f>AVERAGE(C8, D8, E8,F8, G8)</f>
        <v>1.1833251387967408E-2</v>
      </c>
    </row>
    <row r="9" spans="1:13" x14ac:dyDescent="0.3">
      <c r="A9" t="s">
        <v>1</v>
      </c>
      <c r="B9" s="1">
        <v>0.97939257323741902</v>
      </c>
      <c r="C9" s="1">
        <v>0.97939257323741902</v>
      </c>
      <c r="D9" s="1">
        <v>0.97939257323741902</v>
      </c>
      <c r="E9" s="1">
        <v>0.97939257323741902</v>
      </c>
      <c r="F9" s="1">
        <v>0.97939257323741902</v>
      </c>
      <c r="G9" s="1">
        <v>0.97939257323741902</v>
      </c>
      <c r="H9" s="1">
        <v>0.97939257323741902</v>
      </c>
      <c r="M9" s="2">
        <f>(B9-H9)/B9</f>
        <v>0</v>
      </c>
    </row>
    <row r="10" spans="1:13" x14ac:dyDescent="0.3">
      <c r="A10" s="4" t="s">
        <v>5</v>
      </c>
      <c r="B10" s="2"/>
      <c r="C10" s="2"/>
      <c r="D10" s="2"/>
      <c r="E10" s="2"/>
      <c r="F10" s="2"/>
      <c r="G10" s="2"/>
      <c r="H10" s="2"/>
      <c r="I10" s="2">
        <f>AVERAGE(I3:I8)</f>
        <v>0.34095093341932564</v>
      </c>
      <c r="J10" s="2">
        <f>AVERAGE(H3:H8)</f>
        <v>0.48481018427345446</v>
      </c>
      <c r="K10" s="2">
        <f>AVERAGE(K3:K7)</f>
        <v>3.9618014682976801E-4</v>
      </c>
      <c r="L10" s="2">
        <f>AVERAGE(L3:L9)</f>
        <v>0.12882443112938005</v>
      </c>
      <c r="M10" s="5"/>
    </row>
  </sheetData>
  <mergeCells count="1">
    <mergeCell ref="A1:M1"/>
  </mergeCells>
  <conditionalFormatting sqref="B3:H9">
    <cfRule type="cellIs" dxfId="9" priority="1" operator="between">
      <formula>0.1</formula>
      <formula>0.2</formula>
    </cfRule>
    <cfRule type="cellIs" dxfId="8" priority="2" operator="between">
      <formula>0.2</formula>
      <formula>0.4</formula>
    </cfRule>
    <cfRule type="cellIs" dxfId="7" priority="3" operator="between">
      <formula>0.4</formula>
      <formula>0.6</formula>
    </cfRule>
    <cfRule type="cellIs" dxfId="6" priority="4" operator="between">
      <formula>0.6</formula>
      <formula>0.8</formula>
    </cfRule>
    <cfRule type="cellIs" dxfId="5" priority="5" operator="between">
      <formula>0.8</formula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EE4BA-5CD9-46D6-8108-C67D211837E5}">
  <dimension ref="A1:M10"/>
  <sheetViews>
    <sheetView workbookViewId="0">
      <selection activeCell="H7" sqref="H7"/>
    </sheetView>
  </sheetViews>
  <sheetFormatPr defaultRowHeight="14.4" x14ac:dyDescent="0.3"/>
  <cols>
    <col min="1" max="1" width="15.21875" customWidth="1"/>
    <col min="2" max="2" width="15.77734375" customWidth="1"/>
    <col min="3" max="3" width="14.109375" customWidth="1"/>
    <col min="4" max="4" width="18.109375" customWidth="1"/>
    <col min="5" max="5" width="17.6640625" customWidth="1"/>
    <col min="6" max="6" width="12.88671875" customWidth="1"/>
    <col min="7" max="7" width="13.44140625" customWidth="1"/>
    <col min="8" max="8" width="17.33203125" customWidth="1"/>
    <col min="9" max="9" width="13.109375" customWidth="1"/>
    <col min="10" max="10" width="15.44140625" customWidth="1"/>
    <col min="11" max="11" width="12.5546875" customWidth="1"/>
    <col min="12" max="12" width="10.44140625" customWidth="1"/>
    <col min="13" max="13" width="15.109375" customWidth="1"/>
  </cols>
  <sheetData>
    <row r="1" spans="1:13" x14ac:dyDescent="0.3">
      <c r="A1" s="14" t="s">
        <v>33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28.8" x14ac:dyDescent="0.3">
      <c r="A2" s="3"/>
      <c r="B2" s="3" t="s">
        <v>0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24</v>
      </c>
      <c r="I2" s="4" t="s">
        <v>10</v>
      </c>
      <c r="J2" s="4" t="s">
        <v>18</v>
      </c>
      <c r="K2" s="4" t="s">
        <v>11</v>
      </c>
      <c r="L2" s="4" t="s">
        <v>4</v>
      </c>
      <c r="M2" s="4" t="s">
        <v>19</v>
      </c>
    </row>
    <row r="3" spans="1:13" x14ac:dyDescent="0.3">
      <c r="A3" t="s">
        <v>12</v>
      </c>
      <c r="B3" s="1">
        <v>0</v>
      </c>
      <c r="C3" s="1">
        <v>0.70678514863053898</v>
      </c>
      <c r="D3" s="1">
        <v>0.36379013862460802</v>
      </c>
      <c r="E3" s="1">
        <v>0.108821127718935</v>
      </c>
      <c r="F3" s="1">
        <v>5.5336699905031601E-2</v>
      </c>
      <c r="G3" s="1">
        <v>0.16441540187224701</v>
      </c>
      <c r="H3" s="1">
        <v>1.65225720685763E-2</v>
      </c>
      <c r="I3" s="1">
        <f t="shared" ref="I3:I8" si="0">AVERAGE(C3:H3)</f>
        <v>0.23594518146998947</v>
      </c>
      <c r="J3" s="1"/>
      <c r="K3" s="1">
        <f>MAX(C3-H3, D3-H3,E3-H3,F3-H3, G3 - H3)</f>
        <v>0.69026257656196266</v>
      </c>
      <c r="L3" s="1"/>
    </row>
    <row r="4" spans="1:13" x14ac:dyDescent="0.3">
      <c r="A4" t="s">
        <v>13</v>
      </c>
      <c r="B4" s="1">
        <v>0</v>
      </c>
      <c r="C4" s="1">
        <v>0.101640093023888</v>
      </c>
      <c r="D4" s="1">
        <v>0.54947690789898196</v>
      </c>
      <c r="E4" s="1">
        <v>0.119307688282181</v>
      </c>
      <c r="F4" s="1">
        <v>2.49672724312404E-2</v>
      </c>
      <c r="G4" s="1">
        <v>8.9900609003962004E-2</v>
      </c>
      <c r="H4" s="1">
        <v>5.3477365008802703E-4</v>
      </c>
      <c r="I4" s="1">
        <f t="shared" si="0"/>
        <v>0.1476378907150569</v>
      </c>
      <c r="J4" s="1"/>
      <c r="K4" s="1">
        <f t="shared" ref="K4:K5" si="1">MAX(C4-H4, D4-H4,E4-H4,F4-H4, G4 - H4)</f>
        <v>0.54894213424889393</v>
      </c>
      <c r="L4" s="1">
        <f>C4</f>
        <v>0.101640093023888</v>
      </c>
    </row>
    <row r="5" spans="1:13" x14ac:dyDescent="0.3">
      <c r="A5" t="s">
        <v>14</v>
      </c>
      <c r="B5" s="1">
        <v>0.68415092180172599</v>
      </c>
      <c r="C5" s="1">
        <v>8.8063995509097895E-2</v>
      </c>
      <c r="D5" s="1">
        <v>3.3080388015757002E-2</v>
      </c>
      <c r="E5" s="1">
        <v>0.77673545479774397</v>
      </c>
      <c r="F5" s="1">
        <v>0.40843815232316599</v>
      </c>
      <c r="G5" s="1">
        <v>5.8377242532211904E-3</v>
      </c>
      <c r="H5" s="1">
        <v>9.7171703949546395E-4</v>
      </c>
      <c r="I5" s="1">
        <f t="shared" si="0"/>
        <v>0.21885457198974692</v>
      </c>
      <c r="J5" s="1"/>
      <c r="K5" s="1">
        <f t="shared" si="1"/>
        <v>0.77576373775824847</v>
      </c>
      <c r="L5" s="1">
        <f>AVERAGE(C5,D5)</f>
        <v>6.0572191762427452E-2</v>
      </c>
    </row>
    <row r="6" spans="1:13" x14ac:dyDescent="0.3">
      <c r="A6" t="s">
        <v>15</v>
      </c>
      <c r="B6" s="1">
        <v>0</v>
      </c>
      <c r="C6" s="1">
        <v>1.50378056662248E-3</v>
      </c>
      <c r="D6" s="1">
        <v>5.35876364059125E-5</v>
      </c>
      <c r="E6" s="1">
        <v>1.52152074418457E-2</v>
      </c>
      <c r="F6" s="1">
        <v>0.43373633238176501</v>
      </c>
      <c r="G6" s="1">
        <v>3.2665470928501798E-2</v>
      </c>
      <c r="H6" s="1">
        <v>2.4891555181056901E-3</v>
      </c>
      <c r="I6" s="1">
        <f t="shared" si="0"/>
        <v>8.0943922412207769E-2</v>
      </c>
      <c r="J6" s="1"/>
      <c r="K6" s="1">
        <f>MAX(C6-H6, D6-H6,E6-H6,F6-H6, G6 - H6)</f>
        <v>0.43124717686365932</v>
      </c>
      <c r="L6" s="1">
        <f>AVERAGE(C6, D6, E6)</f>
        <v>5.5908585482913643E-3</v>
      </c>
    </row>
    <row r="7" spans="1:13" x14ac:dyDescent="0.3">
      <c r="A7" t="s">
        <v>16</v>
      </c>
      <c r="B7" s="1">
        <v>0</v>
      </c>
      <c r="C7" s="1">
        <v>8.2745414122958501E-3</v>
      </c>
      <c r="D7" s="1">
        <v>1.9324379769386699E-2</v>
      </c>
      <c r="E7" s="1">
        <v>1.2415115100642001E-2</v>
      </c>
      <c r="F7" s="1">
        <v>7.3113966571251299E-3</v>
      </c>
      <c r="G7" s="1">
        <v>0.55503802001476199</v>
      </c>
      <c r="H7" s="1">
        <v>0.161812851679769</v>
      </c>
      <c r="I7" s="1">
        <f t="shared" si="0"/>
        <v>0.12736271743899677</v>
      </c>
      <c r="J7" s="1"/>
      <c r="K7" s="1">
        <f>MAX(C7-H7, D7-H7,E7-H7,F7-H7, G7 - H7)</f>
        <v>0.39322516833499299</v>
      </c>
      <c r="L7" s="1">
        <f>AVERAGE(C7, D7, E7,F7)</f>
        <v>1.183135823486242E-2</v>
      </c>
    </row>
    <row r="8" spans="1:13" x14ac:dyDescent="0.3">
      <c r="A8" t="s">
        <v>24</v>
      </c>
      <c r="B8" s="1">
        <v>0</v>
      </c>
      <c r="C8" s="1">
        <v>9.4617958675371396E-3</v>
      </c>
      <c r="D8" s="1">
        <v>2.1549658028258501E-3</v>
      </c>
      <c r="E8" s="1">
        <v>4.8710561150073703E-3</v>
      </c>
      <c r="F8" s="1">
        <v>9.5690958805031703E-4</v>
      </c>
      <c r="G8" s="1">
        <v>0.166050453204661</v>
      </c>
      <c r="H8" s="1">
        <v>0.62899138033390001</v>
      </c>
      <c r="I8" s="1">
        <f t="shared" si="0"/>
        <v>0.13541442681866361</v>
      </c>
      <c r="J8" s="1"/>
      <c r="K8" s="1"/>
      <c r="L8" s="1">
        <f>AVERAGE(C8, D8, E8,F8, G8)</f>
        <v>3.6699036115616333E-2</v>
      </c>
    </row>
    <row r="9" spans="1:13" x14ac:dyDescent="0.3">
      <c r="A9" t="s">
        <v>1</v>
      </c>
      <c r="B9" s="1">
        <v>0.97939328849315599</v>
      </c>
      <c r="C9" s="1">
        <v>0.10788807459175501</v>
      </c>
      <c r="D9" s="1">
        <v>1.9496832508593701E-2</v>
      </c>
      <c r="E9" s="1">
        <v>5.9740903787314802E-2</v>
      </c>
      <c r="F9" s="1">
        <v>8.8005822908598897E-4</v>
      </c>
      <c r="G9" s="1">
        <v>1.9426313665462599E-3</v>
      </c>
      <c r="H9" s="1">
        <v>1.5525960589002301E-4</v>
      </c>
      <c r="M9" s="2">
        <f>(B9-H9)/B9</f>
        <v>0.99984147368813514</v>
      </c>
    </row>
    <row r="10" spans="1:13" x14ac:dyDescent="0.3">
      <c r="A10" s="4" t="s">
        <v>5</v>
      </c>
      <c r="B10" s="2"/>
      <c r="C10" s="2"/>
      <c r="D10" s="2"/>
      <c r="E10" s="2"/>
      <c r="F10" s="2"/>
      <c r="G10" s="2"/>
      <c r="H10" s="2"/>
      <c r="I10" s="2">
        <f>AVERAGE(I3:I8)</f>
        <v>0.15769311847411024</v>
      </c>
      <c r="J10" s="2">
        <f>AVERAGE(H3:H8)</f>
        <v>0.13522040838165575</v>
      </c>
      <c r="K10" s="2">
        <f>AVERAGE(K3:K7)</f>
        <v>0.56788815875355136</v>
      </c>
      <c r="L10" s="2">
        <f>AVERAGE(L3:L9)</f>
        <v>4.3266707537017113E-2</v>
      </c>
      <c r="M10" s="5"/>
    </row>
  </sheetData>
  <mergeCells count="1">
    <mergeCell ref="A1:M1"/>
  </mergeCells>
  <conditionalFormatting sqref="B3:H9">
    <cfRule type="cellIs" dxfId="4" priority="1" operator="between">
      <formula>0.1</formula>
      <formula>0.2</formula>
    </cfRule>
    <cfRule type="cellIs" dxfId="3" priority="2" operator="between">
      <formula>0.2</formula>
      <formula>0.4</formula>
    </cfRule>
    <cfRule type="cellIs" dxfId="2" priority="3" operator="between">
      <formula>0.4</formula>
      <formula>0.6</formula>
    </cfRule>
    <cfRule type="cellIs" dxfId="1" priority="4" operator="between">
      <formula>0.6</formula>
      <formula>0.8</formula>
    </cfRule>
    <cfRule type="cellIs" dxfId="0" priority="5" operator="between">
      <formula>0.8</formula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1CA91-7D37-4DCE-9CA7-ED861C90BC9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TIL-LoRA (isolated)</vt:lpstr>
      <vt:lpstr>CIL-LoRA</vt:lpstr>
      <vt:lpstr>TIL-LoRA</vt:lpstr>
      <vt:lpstr>CPE-CLIP</vt:lpstr>
      <vt:lpstr>Fine-tuning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verma</dc:creator>
  <cp:lastModifiedBy>Shashank verma</cp:lastModifiedBy>
  <dcterms:created xsi:type="dcterms:W3CDTF">2026-07-28T11:44:01Z</dcterms:created>
  <dcterms:modified xsi:type="dcterms:W3CDTF">2026-08-20T11:24:42Z</dcterms:modified>
</cp:coreProperties>
</file>