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6868b0fd06ef7/Desktop/MT_Shashank_CL/results/"/>
    </mc:Choice>
  </mc:AlternateContent>
  <xr:revisionPtr revIDLastSave="889" documentId="8_{11DF1DD2-F5A3-42AD-9201-8FAC69274C24}" xr6:coauthVersionLast="47" xr6:coauthVersionMax="47" xr10:uidLastSave="{99D6693D-36A7-418F-B627-1252E71A9735}"/>
  <bookViews>
    <workbookView xWindow="-108" yWindow="-108" windowWidth="23256" windowHeight="12456" activeTab="2" xr2:uid="{0ABF8F8D-A5C6-4B74-9FD9-CAACC9571FF2}"/>
  </bookViews>
  <sheets>
    <sheet name="Dashboard" sheetId="10" r:id="rId1"/>
    <sheet name="ZSCL" sheetId="14" r:id="rId2"/>
    <sheet name="CIL-LoRA" sheetId="9" r:id="rId3"/>
    <sheet name="TIL-LoRA" sheetId="12" r:id="rId4"/>
    <sheet name="CPE-CLIP" sheetId="13" r:id="rId5"/>
    <sheet name="Fine-tuning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9" l="1"/>
  <c r="I98" i="9"/>
  <c r="M97" i="9"/>
  <c r="M91" i="9"/>
  <c r="K153" i="9"/>
  <c r="J153" i="9"/>
  <c r="M152" i="9"/>
  <c r="M151" i="9"/>
  <c r="L151" i="9"/>
  <c r="I151" i="9"/>
  <c r="M150" i="9"/>
  <c r="L150" i="9"/>
  <c r="K150" i="9"/>
  <c r="I150" i="9"/>
  <c r="M149" i="9"/>
  <c r="L149" i="9"/>
  <c r="K149" i="9"/>
  <c r="I149" i="9"/>
  <c r="M148" i="9"/>
  <c r="L148" i="9"/>
  <c r="K148" i="9"/>
  <c r="I148" i="9"/>
  <c r="M147" i="9"/>
  <c r="L147" i="9"/>
  <c r="K147" i="9"/>
  <c r="I147" i="9"/>
  <c r="M146" i="9"/>
  <c r="K146" i="9"/>
  <c r="I146" i="9"/>
  <c r="I153" i="9" s="1"/>
  <c r="J142" i="9"/>
  <c r="M141" i="9"/>
  <c r="M140" i="9"/>
  <c r="L140" i="9"/>
  <c r="I140" i="9"/>
  <c r="M139" i="9"/>
  <c r="L139" i="9"/>
  <c r="K139" i="9"/>
  <c r="I139" i="9"/>
  <c r="M138" i="9"/>
  <c r="L138" i="9"/>
  <c r="K138" i="9"/>
  <c r="I138" i="9"/>
  <c r="M137" i="9"/>
  <c r="L137" i="9"/>
  <c r="K137" i="9"/>
  <c r="I137" i="9"/>
  <c r="M136" i="9"/>
  <c r="L136" i="9"/>
  <c r="K136" i="9"/>
  <c r="I136" i="9"/>
  <c r="M135" i="9"/>
  <c r="K135" i="9"/>
  <c r="I135" i="9"/>
  <c r="J131" i="9"/>
  <c r="M130" i="9"/>
  <c r="M129" i="9"/>
  <c r="L129" i="9"/>
  <c r="I129" i="9"/>
  <c r="M128" i="9"/>
  <c r="L128" i="9"/>
  <c r="K128" i="9"/>
  <c r="I128" i="9"/>
  <c r="M127" i="9"/>
  <c r="L127" i="9"/>
  <c r="K127" i="9"/>
  <c r="I127" i="9"/>
  <c r="M126" i="9"/>
  <c r="L126" i="9"/>
  <c r="K126" i="9"/>
  <c r="I126" i="9"/>
  <c r="M125" i="9"/>
  <c r="L125" i="9"/>
  <c r="K125" i="9"/>
  <c r="I125" i="9"/>
  <c r="M124" i="9"/>
  <c r="K124" i="9"/>
  <c r="I124" i="9"/>
  <c r="J120" i="9"/>
  <c r="M119" i="9"/>
  <c r="M118" i="9"/>
  <c r="L118" i="9"/>
  <c r="I118" i="9"/>
  <c r="M117" i="9"/>
  <c r="L117" i="9"/>
  <c r="K117" i="9"/>
  <c r="I117" i="9"/>
  <c r="M116" i="9"/>
  <c r="L116" i="9"/>
  <c r="K116" i="9"/>
  <c r="I116" i="9"/>
  <c r="M115" i="9"/>
  <c r="L115" i="9"/>
  <c r="K115" i="9"/>
  <c r="I115" i="9"/>
  <c r="M114" i="9"/>
  <c r="L114" i="9"/>
  <c r="K114" i="9"/>
  <c r="I114" i="9"/>
  <c r="M113" i="9"/>
  <c r="K113" i="9"/>
  <c r="I113" i="9"/>
  <c r="J109" i="9"/>
  <c r="M108" i="9"/>
  <c r="M107" i="9"/>
  <c r="L107" i="9"/>
  <c r="I107" i="9"/>
  <c r="M106" i="9"/>
  <c r="L106" i="9"/>
  <c r="K106" i="9"/>
  <c r="I106" i="9"/>
  <c r="M105" i="9"/>
  <c r="L105" i="9"/>
  <c r="K105" i="9"/>
  <c r="I105" i="9"/>
  <c r="M104" i="9"/>
  <c r="L104" i="9"/>
  <c r="K104" i="9"/>
  <c r="I104" i="9"/>
  <c r="M103" i="9"/>
  <c r="L103" i="9"/>
  <c r="K103" i="9"/>
  <c r="I103" i="9"/>
  <c r="M102" i="9"/>
  <c r="K102" i="9"/>
  <c r="I102" i="9"/>
  <c r="M92" i="9"/>
  <c r="M93" i="9"/>
  <c r="M94" i="9"/>
  <c r="M95" i="9"/>
  <c r="M96" i="9"/>
  <c r="M81" i="9"/>
  <c r="M82" i="9"/>
  <c r="M83" i="9"/>
  <c r="M84" i="9"/>
  <c r="M85" i="9"/>
  <c r="M80" i="9"/>
  <c r="M4" i="9"/>
  <c r="M5" i="9"/>
  <c r="M6" i="9"/>
  <c r="M7" i="9"/>
  <c r="M8" i="9"/>
  <c r="M3" i="9"/>
  <c r="M15" i="9"/>
  <c r="M16" i="9"/>
  <c r="M17" i="9"/>
  <c r="M18" i="9"/>
  <c r="M19" i="9"/>
  <c r="M14" i="9"/>
  <c r="M26" i="9"/>
  <c r="M27" i="9"/>
  <c r="M28" i="9"/>
  <c r="M29" i="9"/>
  <c r="M30" i="9"/>
  <c r="M25" i="9"/>
  <c r="M48" i="9"/>
  <c r="M49" i="9"/>
  <c r="M50" i="9"/>
  <c r="M51" i="9"/>
  <c r="M52" i="9"/>
  <c r="M47" i="9"/>
  <c r="M59" i="9"/>
  <c r="M60" i="9"/>
  <c r="M61" i="9"/>
  <c r="M62" i="9"/>
  <c r="M63" i="9"/>
  <c r="M58" i="9"/>
  <c r="M64" i="9"/>
  <c r="J98" i="9"/>
  <c r="L96" i="9"/>
  <c r="I96" i="9"/>
  <c r="L95" i="9"/>
  <c r="K95" i="9"/>
  <c r="I95" i="9"/>
  <c r="L94" i="9"/>
  <c r="K94" i="9"/>
  <c r="I94" i="9"/>
  <c r="L93" i="9"/>
  <c r="K93" i="9"/>
  <c r="I93" i="9"/>
  <c r="L92" i="9"/>
  <c r="K92" i="9"/>
  <c r="I92" i="9"/>
  <c r="K91" i="9"/>
  <c r="K98" i="9" s="1"/>
  <c r="J82" i="12"/>
  <c r="M81" i="12"/>
  <c r="L80" i="12"/>
  <c r="L82" i="12" s="1"/>
  <c r="I80" i="12"/>
  <c r="L79" i="12"/>
  <c r="K79" i="12"/>
  <c r="I79" i="12"/>
  <c r="L78" i="12"/>
  <c r="K78" i="12"/>
  <c r="I78" i="12"/>
  <c r="L77" i="12"/>
  <c r="K77" i="12"/>
  <c r="I77" i="12"/>
  <c r="L76" i="12"/>
  <c r="K76" i="12"/>
  <c r="I76" i="12"/>
  <c r="K75" i="12"/>
  <c r="I75" i="12"/>
  <c r="J71" i="12"/>
  <c r="M70" i="12"/>
  <c r="L69" i="12"/>
  <c r="I69" i="12"/>
  <c r="L68" i="12"/>
  <c r="K68" i="12"/>
  <c r="I68" i="12"/>
  <c r="L67" i="12"/>
  <c r="K67" i="12"/>
  <c r="I67" i="12"/>
  <c r="L66" i="12"/>
  <c r="K66" i="12"/>
  <c r="I66" i="12"/>
  <c r="L65" i="12"/>
  <c r="L71" i="12" s="1"/>
  <c r="K65" i="12"/>
  <c r="I65" i="12"/>
  <c r="K64" i="12"/>
  <c r="I64" i="12"/>
  <c r="J60" i="12"/>
  <c r="M59" i="12"/>
  <c r="L58" i="12"/>
  <c r="I58" i="12"/>
  <c r="L57" i="12"/>
  <c r="K57" i="12"/>
  <c r="I57" i="12"/>
  <c r="L56" i="12"/>
  <c r="K56" i="12"/>
  <c r="I56" i="12"/>
  <c r="L55" i="12"/>
  <c r="K55" i="12"/>
  <c r="I55" i="12"/>
  <c r="L54" i="12"/>
  <c r="K54" i="12"/>
  <c r="K60" i="12" s="1"/>
  <c r="I54" i="12"/>
  <c r="K53" i="12"/>
  <c r="I53" i="12"/>
  <c r="L10" i="14"/>
  <c r="J10" i="14"/>
  <c r="M9" i="14"/>
  <c r="L8" i="14"/>
  <c r="I8" i="14"/>
  <c r="L7" i="14"/>
  <c r="K7" i="14"/>
  <c r="I7" i="14"/>
  <c r="L6" i="14"/>
  <c r="K6" i="14"/>
  <c r="I6" i="14"/>
  <c r="L5" i="14"/>
  <c r="K5" i="14"/>
  <c r="I5" i="14"/>
  <c r="L4" i="14"/>
  <c r="K4" i="14"/>
  <c r="K10" i="14" s="1"/>
  <c r="I4" i="14"/>
  <c r="K3" i="14"/>
  <c r="I3" i="14"/>
  <c r="L54" i="11"/>
  <c r="J54" i="11"/>
  <c r="M53" i="11"/>
  <c r="L52" i="11"/>
  <c r="I52" i="11"/>
  <c r="L51" i="11"/>
  <c r="K51" i="11"/>
  <c r="I51" i="11"/>
  <c r="L50" i="11"/>
  <c r="K50" i="11"/>
  <c r="I50" i="11"/>
  <c r="L49" i="11"/>
  <c r="K49" i="11"/>
  <c r="I49" i="11"/>
  <c r="L48" i="11"/>
  <c r="K48" i="11"/>
  <c r="I48" i="11"/>
  <c r="K47" i="11"/>
  <c r="K54" i="11" s="1"/>
  <c r="I47" i="11"/>
  <c r="J43" i="11"/>
  <c r="M42" i="11"/>
  <c r="L41" i="11"/>
  <c r="I41" i="11"/>
  <c r="L40" i="11"/>
  <c r="K40" i="11"/>
  <c r="I40" i="11"/>
  <c r="L39" i="11"/>
  <c r="K39" i="11"/>
  <c r="I39" i="11"/>
  <c r="L38" i="11"/>
  <c r="K38" i="11"/>
  <c r="I38" i="11"/>
  <c r="L37" i="11"/>
  <c r="L43" i="11" s="1"/>
  <c r="K37" i="11"/>
  <c r="I37" i="11"/>
  <c r="K36" i="11"/>
  <c r="I36" i="11"/>
  <c r="J32" i="11"/>
  <c r="M31" i="11"/>
  <c r="L30" i="11"/>
  <c r="I30" i="11"/>
  <c r="L29" i="11"/>
  <c r="K29" i="11"/>
  <c r="I29" i="11"/>
  <c r="L28" i="11"/>
  <c r="K28" i="11"/>
  <c r="I28" i="11"/>
  <c r="L27" i="11"/>
  <c r="K27" i="11"/>
  <c r="I27" i="11"/>
  <c r="L26" i="11"/>
  <c r="K26" i="11"/>
  <c r="I26" i="11"/>
  <c r="K25" i="11"/>
  <c r="I25" i="11"/>
  <c r="J87" i="9"/>
  <c r="M86" i="9"/>
  <c r="L85" i="9"/>
  <c r="I85" i="9"/>
  <c r="L84" i="9"/>
  <c r="K84" i="9"/>
  <c r="I84" i="9"/>
  <c r="L83" i="9"/>
  <c r="K83" i="9"/>
  <c r="I83" i="9"/>
  <c r="L82" i="9"/>
  <c r="K82" i="9"/>
  <c r="I82" i="9"/>
  <c r="L81" i="9"/>
  <c r="L87" i="9" s="1"/>
  <c r="K81" i="9"/>
  <c r="I81" i="9"/>
  <c r="K80" i="9"/>
  <c r="I80" i="9"/>
  <c r="J76" i="9"/>
  <c r="M75" i="9"/>
  <c r="L74" i="9"/>
  <c r="I74" i="9"/>
  <c r="L73" i="9"/>
  <c r="K73" i="9"/>
  <c r="I73" i="9"/>
  <c r="L72" i="9"/>
  <c r="K72" i="9"/>
  <c r="I72" i="9"/>
  <c r="L71" i="9"/>
  <c r="K71" i="9"/>
  <c r="I71" i="9"/>
  <c r="L70" i="9"/>
  <c r="K70" i="9"/>
  <c r="I70" i="9"/>
  <c r="K69" i="9"/>
  <c r="I69" i="9"/>
  <c r="L49" i="12"/>
  <c r="J49" i="12"/>
  <c r="I49" i="12"/>
  <c r="M48" i="12"/>
  <c r="L47" i="12"/>
  <c r="I47" i="12"/>
  <c r="L46" i="12"/>
  <c r="K46" i="12"/>
  <c r="I46" i="12"/>
  <c r="L45" i="12"/>
  <c r="K45" i="12"/>
  <c r="I45" i="12"/>
  <c r="L44" i="12"/>
  <c r="K44" i="12"/>
  <c r="I44" i="12"/>
  <c r="L43" i="12"/>
  <c r="K43" i="12"/>
  <c r="I43" i="12"/>
  <c r="K42" i="12"/>
  <c r="K49" i="12" s="1"/>
  <c r="I42" i="12"/>
  <c r="J21" i="11"/>
  <c r="M20" i="11"/>
  <c r="L19" i="11"/>
  <c r="I19" i="11"/>
  <c r="L18" i="11"/>
  <c r="K18" i="11"/>
  <c r="I18" i="11"/>
  <c r="L17" i="11"/>
  <c r="K17" i="11"/>
  <c r="I17" i="11"/>
  <c r="L16" i="11"/>
  <c r="K16" i="11"/>
  <c r="I16" i="11"/>
  <c r="L15" i="11"/>
  <c r="L21" i="11" s="1"/>
  <c r="K15" i="11"/>
  <c r="I15" i="11"/>
  <c r="K14" i="11"/>
  <c r="I14" i="11"/>
  <c r="I21" i="11" s="1"/>
  <c r="J65" i="9"/>
  <c r="L63" i="9"/>
  <c r="I63" i="9"/>
  <c r="L62" i="9"/>
  <c r="K62" i="9"/>
  <c r="I62" i="9"/>
  <c r="L61" i="9"/>
  <c r="K61" i="9"/>
  <c r="I61" i="9"/>
  <c r="L60" i="9"/>
  <c r="L65" i="9" s="1"/>
  <c r="K60" i="9"/>
  <c r="I60" i="9"/>
  <c r="L59" i="9"/>
  <c r="K59" i="9"/>
  <c r="I59" i="9"/>
  <c r="K58" i="9"/>
  <c r="I58" i="9"/>
  <c r="J54" i="9"/>
  <c r="M53" i="9"/>
  <c r="L52" i="9"/>
  <c r="I52" i="9"/>
  <c r="L51" i="9"/>
  <c r="K51" i="9"/>
  <c r="I51" i="9"/>
  <c r="L50" i="9"/>
  <c r="K50" i="9"/>
  <c r="I50" i="9"/>
  <c r="L49" i="9"/>
  <c r="K49" i="9"/>
  <c r="I49" i="9"/>
  <c r="L48" i="9"/>
  <c r="K48" i="9"/>
  <c r="I48" i="9"/>
  <c r="K47" i="9"/>
  <c r="I47" i="9"/>
  <c r="I54" i="9" s="1"/>
  <c r="M37" i="12"/>
  <c r="M20" i="12"/>
  <c r="J38" i="12"/>
  <c r="J21" i="12"/>
  <c r="I36" i="12"/>
  <c r="I14" i="12"/>
  <c r="L153" i="9" l="1"/>
  <c r="L142" i="9"/>
  <c r="K142" i="9"/>
  <c r="I142" i="9"/>
  <c r="K131" i="9"/>
  <c r="I131" i="9"/>
  <c r="L131" i="9"/>
  <c r="I109" i="9"/>
  <c r="K109" i="9"/>
  <c r="L109" i="9"/>
  <c r="I120" i="9"/>
  <c r="L120" i="9"/>
  <c r="K120" i="9"/>
  <c r="L98" i="9"/>
  <c r="I82" i="12"/>
  <c r="K82" i="12"/>
  <c r="I71" i="12"/>
  <c r="K71" i="12"/>
  <c r="I60" i="12"/>
  <c r="L60" i="12"/>
  <c r="I10" i="14"/>
  <c r="I54" i="11"/>
  <c r="K43" i="11"/>
  <c r="I43" i="11"/>
  <c r="L32" i="11"/>
  <c r="I32" i="11"/>
  <c r="K32" i="11"/>
  <c r="I87" i="9"/>
  <c r="K87" i="9"/>
  <c r="L76" i="9"/>
  <c r="I76" i="9"/>
  <c r="K76" i="9"/>
  <c r="K21" i="11"/>
  <c r="I65" i="9"/>
  <c r="K65" i="9"/>
  <c r="L54" i="9"/>
  <c r="K54" i="9"/>
  <c r="I38" i="12"/>
  <c r="J10" i="11"/>
  <c r="J32" i="9" l="1"/>
  <c r="M31" i="9"/>
  <c r="L30" i="9"/>
  <c r="I30" i="9"/>
  <c r="L29" i="9"/>
  <c r="K29" i="9"/>
  <c r="I29" i="9"/>
  <c r="L28" i="9"/>
  <c r="K28" i="9"/>
  <c r="I28" i="9"/>
  <c r="L27" i="9"/>
  <c r="K27" i="9"/>
  <c r="I27" i="9"/>
  <c r="L26" i="9"/>
  <c r="K26" i="9"/>
  <c r="I26" i="9"/>
  <c r="K25" i="9"/>
  <c r="I25" i="9"/>
  <c r="M9" i="11"/>
  <c r="L8" i="11"/>
  <c r="I8" i="11"/>
  <c r="L7" i="11"/>
  <c r="K7" i="11"/>
  <c r="I7" i="11"/>
  <c r="L6" i="11"/>
  <c r="K6" i="11"/>
  <c r="I6" i="11"/>
  <c r="L5" i="11"/>
  <c r="K5" i="11"/>
  <c r="I5" i="11"/>
  <c r="L4" i="11"/>
  <c r="L10" i="11" s="1"/>
  <c r="K4" i="11"/>
  <c r="I4" i="11"/>
  <c r="K3" i="11"/>
  <c r="I3" i="11"/>
  <c r="I10" i="11" s="1"/>
  <c r="J32" i="12"/>
  <c r="M31" i="12"/>
  <c r="L30" i="12"/>
  <c r="I30" i="12"/>
  <c r="L29" i="12"/>
  <c r="K29" i="12"/>
  <c r="I29" i="12"/>
  <c r="L28" i="12"/>
  <c r="K28" i="12"/>
  <c r="I28" i="12"/>
  <c r="L27" i="12"/>
  <c r="K27" i="12"/>
  <c r="I27" i="12"/>
  <c r="L26" i="12"/>
  <c r="K26" i="12"/>
  <c r="I26" i="12"/>
  <c r="K25" i="12"/>
  <c r="I25" i="12"/>
  <c r="L19" i="12"/>
  <c r="I19" i="12"/>
  <c r="L18" i="12"/>
  <c r="K18" i="12"/>
  <c r="I18" i="12"/>
  <c r="L17" i="12"/>
  <c r="K17" i="12"/>
  <c r="I17" i="12"/>
  <c r="L16" i="12"/>
  <c r="K16" i="12"/>
  <c r="I16" i="12"/>
  <c r="L15" i="12"/>
  <c r="K15" i="12"/>
  <c r="I15" i="12"/>
  <c r="K14" i="12"/>
  <c r="J10" i="13"/>
  <c r="M9" i="13"/>
  <c r="L8" i="13"/>
  <c r="I8" i="13"/>
  <c r="L7" i="13"/>
  <c r="K7" i="13"/>
  <c r="I7" i="13"/>
  <c r="L6" i="13"/>
  <c r="K6" i="13"/>
  <c r="I6" i="13"/>
  <c r="L5" i="13"/>
  <c r="K5" i="13"/>
  <c r="I5" i="13"/>
  <c r="L4" i="13"/>
  <c r="L10" i="13" s="1"/>
  <c r="K4" i="13"/>
  <c r="I4" i="13"/>
  <c r="K3" i="13"/>
  <c r="I3" i="13"/>
  <c r="I10" i="13" s="1"/>
  <c r="J10" i="12"/>
  <c r="M9" i="12"/>
  <c r="L8" i="12"/>
  <c r="I8" i="12"/>
  <c r="L7" i="12"/>
  <c r="K7" i="12"/>
  <c r="I7" i="12"/>
  <c r="L6" i="12"/>
  <c r="K6" i="12"/>
  <c r="I6" i="12"/>
  <c r="L5" i="12"/>
  <c r="K5" i="12"/>
  <c r="I5" i="12"/>
  <c r="L4" i="12"/>
  <c r="K4" i="12"/>
  <c r="I4" i="12"/>
  <c r="K3" i="12"/>
  <c r="I3" i="12"/>
  <c r="J43" i="9"/>
  <c r="M42" i="9"/>
  <c r="L41" i="9"/>
  <c r="I41" i="9"/>
  <c r="L40" i="9"/>
  <c r="K40" i="9"/>
  <c r="I40" i="9"/>
  <c r="L39" i="9"/>
  <c r="K39" i="9"/>
  <c r="I39" i="9"/>
  <c r="L38" i="9"/>
  <c r="K38" i="9"/>
  <c r="I38" i="9"/>
  <c r="L37" i="9"/>
  <c r="K37" i="9"/>
  <c r="I37" i="9"/>
  <c r="K36" i="9"/>
  <c r="I36" i="9"/>
  <c r="J21" i="9"/>
  <c r="M20" i="9"/>
  <c r="L19" i="9"/>
  <c r="I19" i="9"/>
  <c r="L18" i="9"/>
  <c r="K18" i="9"/>
  <c r="I18" i="9"/>
  <c r="L17" i="9"/>
  <c r="K17" i="9"/>
  <c r="I17" i="9"/>
  <c r="L16" i="9"/>
  <c r="K16" i="9"/>
  <c r="I16" i="9"/>
  <c r="L15" i="9"/>
  <c r="K15" i="9"/>
  <c r="I15" i="9"/>
  <c r="K14" i="9"/>
  <c r="I14" i="9"/>
  <c r="L8" i="9"/>
  <c r="J10" i="9"/>
  <c r="M9" i="9"/>
  <c r="K10" i="11" l="1"/>
  <c r="I21" i="12"/>
  <c r="L32" i="12"/>
  <c r="I10" i="12"/>
  <c r="I32" i="12"/>
  <c r="L32" i="9"/>
  <c r="I32" i="9"/>
  <c r="K32" i="9"/>
  <c r="I43" i="9"/>
  <c r="K32" i="12"/>
  <c r="K21" i="12"/>
  <c r="L21" i="12"/>
  <c r="K10" i="13"/>
  <c r="K10" i="12"/>
  <c r="L10" i="12"/>
  <c r="K43" i="9"/>
  <c r="L43" i="9"/>
  <c r="L21" i="9"/>
  <c r="I21" i="9"/>
  <c r="K21" i="9"/>
  <c r="K6" i="9"/>
  <c r="K7" i="9"/>
  <c r="I8" i="9"/>
  <c r="I7" i="9"/>
  <c r="L5" i="9"/>
  <c r="L4" i="9"/>
  <c r="K4" i="9"/>
  <c r="K5" i="9"/>
  <c r="K3" i="9"/>
  <c r="I6" i="9"/>
  <c r="I5" i="9"/>
  <c r="I4" i="9"/>
  <c r="I3" i="9"/>
  <c r="I10" i="9" l="1"/>
  <c r="K10" i="9"/>
  <c r="L7" i="9"/>
  <c r="L6" i="9"/>
  <c r="L10" i="9" l="1"/>
</calcChain>
</file>

<file path=xl/sharedStrings.xml><?xml version="1.0" encoding="utf-8"?>
<sst xmlns="http://schemas.openxmlformats.org/spreadsheetml/2006/main" count="696" uniqueCount="67">
  <si>
    <t>Pretrained</t>
  </si>
  <si>
    <t>aeropath (Retention)</t>
  </si>
  <si>
    <t>Transfer</t>
  </si>
  <si>
    <t>Average</t>
  </si>
  <si>
    <t>Average Performance</t>
  </si>
  <si>
    <t>Final Forgetting</t>
  </si>
  <si>
    <t>Lateral Tibial</t>
  </si>
  <si>
    <t>Medial Tibial</t>
  </si>
  <si>
    <t>Femoral</t>
  </si>
  <si>
    <t>Patellar</t>
  </si>
  <si>
    <t>Medial Meniscus</t>
  </si>
  <si>
    <t>Final Performance</t>
  </si>
  <si>
    <t>Final Retention Drop</t>
  </si>
  <si>
    <t>Method</t>
  </si>
  <si>
    <t>Task Order</t>
  </si>
  <si>
    <t>Original</t>
  </si>
  <si>
    <t>CIL-LoRA</t>
  </si>
  <si>
    <t>Lateral Meniscus</t>
  </si>
  <si>
    <t>Final Average Performance</t>
  </si>
  <si>
    <t>LoRA Rank</t>
  </si>
  <si>
    <t>Training Samples</t>
  </si>
  <si>
    <t>Relative Retention Drop</t>
  </si>
  <si>
    <t>CIL-LoRA (Rank=128, Task Order=Original)</t>
  </si>
  <si>
    <t>CIL-LoRA (Rank=256, Task Order=Original)</t>
  </si>
  <si>
    <t>CIL-LoRA (Rank=128, Task Order=Original, replay_fraction=0.1)</t>
  </si>
  <si>
    <t>TIL-LoRA (Rank=4, Task Order=Original)</t>
  </si>
  <si>
    <t>CPE-CLIP (Task Order=Original)</t>
  </si>
  <si>
    <t>TIL-LoRA</t>
  </si>
  <si>
    <t>TIL-LoRA (Rank=4, Task Order=Reverse)</t>
  </si>
  <si>
    <t>CIL-LoRA (Rank=256, Task Order=Reverse)</t>
  </si>
  <si>
    <t>TIL-LoRA (Rank=8, Task Order=Original)</t>
  </si>
  <si>
    <t>Fine-Tuning</t>
  </si>
  <si>
    <t>Fine-Tuning (Task Order=Original)</t>
  </si>
  <si>
    <t>-</t>
  </si>
  <si>
    <t>Epochs</t>
  </si>
  <si>
    <t>CIL-LoRA + Replay</t>
  </si>
  <si>
    <t>CPE-CLIP</t>
  </si>
  <si>
    <t>ZSCL</t>
  </si>
  <si>
    <t>Category</t>
  </si>
  <si>
    <t>Main</t>
  </si>
  <si>
    <t>Only Patellar</t>
  </si>
  <si>
    <t>Few-shot</t>
  </si>
  <si>
    <t>Rank Ablation</t>
  </si>
  <si>
    <t>Task Order Ablation</t>
  </si>
  <si>
    <t>Reverse</t>
  </si>
  <si>
    <t>Convergence Diagnosis</t>
  </si>
  <si>
    <t>FT</t>
  </si>
  <si>
    <t>TIL-LoRA (Rank=4, Task Order=Only Patellar)</t>
  </si>
  <si>
    <t>CIL-LoRA (Rank=4, Task Order=Original)</t>
  </si>
  <si>
    <t>CIL-LoRA (Rank=512, Task Order=Original)</t>
  </si>
  <si>
    <t>20-shot Fine-Tuning (Task Order=Original)</t>
  </si>
  <si>
    <t>Fine-Tuning (Task Order=Reverse)</t>
  </si>
  <si>
    <t>CIL-LoRA (Rank=32, Task Order=Original)</t>
  </si>
  <si>
    <t>CIL-LoRA (Rank=1024, Task Order=Original)</t>
  </si>
  <si>
    <t>5-shot Fine-Tuning (Task Order=Original)</t>
  </si>
  <si>
    <t>10-shot Fine-Tuning (Task Order=Original)</t>
  </si>
  <si>
    <t>ZSCL (Task Order=Original)</t>
  </si>
  <si>
    <t>10-shot TIL-LoRA (Rank=4, Task Order=Original)</t>
  </si>
  <si>
    <t>5-shot TIL-LoRA (Rank=4, Task Order=Original)</t>
  </si>
  <si>
    <t>20-shot TIL-LoRA (Rank=4, Task Order=Original)</t>
  </si>
  <si>
    <t>Replay Ablation</t>
  </si>
  <si>
    <t>CIL-LoRA (Rank=2048, Task Order=Original)</t>
  </si>
  <si>
    <t>CIL-LoRA (Rank=1024, Task Order=Original, 5-shot)</t>
  </si>
  <si>
    <t>CIL-LoRA (Rank=1024, Task Order=Original, 10-shot)</t>
  </si>
  <si>
    <t>CIL-LoRA (Rank=1024, Task Order=Original, 20-shot)</t>
  </si>
  <si>
    <t>CIL-LoRA (Rank=1024, Task Order=Reverse)</t>
  </si>
  <si>
    <t>CIL-LoRA (Rank=1024, Task Order=Original, replay_fraction=0.1)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</si>
</sst>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16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0" fillId="0" borderId="3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164" fontId="0" fillId="3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0" borderId="4" xfId="0" applyBorder="1" applyAlignment="1">
      <alignment horizontal="center" wrapText="1"/>
    </xf>
    <xf numFmtId="164" fontId="0" fillId="0" borderId="4" xfId="0" applyNumberForma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0" fillId="0" borderId="5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145"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23A-399E-4F5B-903D-F904EFBFDB9D}">
  <dimension ref="A1:M91"/>
  <sheetViews>
    <sheetView zoomScaleNormal="100" workbookViewId="0">
      <selection activeCell="L22" sqref="L22"/>
    </sheetView>
  </sheetViews>
  <sheetFormatPr defaultRowHeight="14.4" x14ac:dyDescent="0.3"/>
  <cols>
    <col min="1" max="4" width="18.33203125" customWidth="1"/>
    <col min="5" max="5" width="35.6640625" style="3" customWidth="1"/>
    <col min="6" max="6" width="10" style="3" bestFit="1" customWidth="1"/>
    <col min="7" max="7" width="12.109375" style="1" bestFit="1" customWidth="1"/>
    <col min="8" max="8" width="13.5546875" style="1" customWidth="1"/>
    <col min="9" max="9" width="13.6640625" style="1" customWidth="1"/>
    <col min="10" max="10" width="8.88671875" style="1"/>
    <col min="11" max="11" width="16" style="1" customWidth="1"/>
    <col min="12" max="12" width="14.109375" customWidth="1"/>
    <col min="13" max="13" width="12.44140625" customWidth="1"/>
  </cols>
  <sheetData>
    <row r="1" spans="1:13" s="10" customFormat="1" ht="29.4" thickBot="1" x14ac:dyDescent="0.35">
      <c r="A1" s="8" t="s">
        <v>13</v>
      </c>
      <c r="B1" s="8" t="s">
        <v>38</v>
      </c>
      <c r="C1" s="8" t="s">
        <v>20</v>
      </c>
      <c r="D1" s="8" t="s">
        <v>34</v>
      </c>
      <c r="E1" s="8" t="s">
        <v>14</v>
      </c>
      <c r="F1" s="8" t="s">
        <v>19</v>
      </c>
      <c r="G1" s="9" t="s">
        <v>4</v>
      </c>
      <c r="H1" s="9" t="s">
        <v>18</v>
      </c>
      <c r="I1" s="9" t="s">
        <v>5</v>
      </c>
      <c r="J1" s="9" t="s">
        <v>2</v>
      </c>
      <c r="K1" s="11" t="s">
        <v>21</v>
      </c>
    </row>
    <row r="2" spans="1:13" s="10" customFormat="1" x14ac:dyDescent="0.3">
      <c r="A2" s="10" t="s">
        <v>31</v>
      </c>
      <c r="B2" s="10" t="s">
        <v>39</v>
      </c>
      <c r="C2" s="10">
        <v>108</v>
      </c>
      <c r="D2" s="10">
        <v>10</v>
      </c>
      <c r="E2" s="10" t="s">
        <v>15</v>
      </c>
      <c r="F2" s="10" t="s">
        <v>33</v>
      </c>
      <c r="G2" s="12">
        <v>0.13</v>
      </c>
      <c r="H2" s="12">
        <v>0.13</v>
      </c>
      <c r="I2" s="12">
        <v>0.70399999999999996</v>
      </c>
      <c r="J2" s="12">
        <v>1E-3</v>
      </c>
      <c r="K2" s="12">
        <v>1</v>
      </c>
    </row>
    <row r="3" spans="1:13" s="10" customFormat="1" x14ac:dyDescent="0.3">
      <c r="A3" s="10" t="s">
        <v>27</v>
      </c>
      <c r="B3" s="10" t="s">
        <v>39</v>
      </c>
      <c r="C3" s="10">
        <v>108</v>
      </c>
      <c r="D3" s="10">
        <v>10</v>
      </c>
      <c r="E3" s="10" t="s">
        <v>15</v>
      </c>
      <c r="F3" s="10">
        <v>4</v>
      </c>
      <c r="G3" s="14">
        <v>0.34095093341932564</v>
      </c>
      <c r="H3" s="22">
        <v>0.48481018427345446</v>
      </c>
      <c r="I3" s="22">
        <v>3.9618014682976801E-4</v>
      </c>
      <c r="J3" s="14">
        <v>0.12882443112938005</v>
      </c>
      <c r="K3" s="22">
        <v>0</v>
      </c>
    </row>
    <row r="4" spans="1:13" s="10" customFormat="1" x14ac:dyDescent="0.3">
      <c r="A4" s="10" t="s">
        <v>16</v>
      </c>
      <c r="B4" s="10" t="s">
        <v>39</v>
      </c>
      <c r="C4" s="10">
        <v>108</v>
      </c>
      <c r="D4" s="10">
        <v>10</v>
      </c>
      <c r="E4" s="10" t="s">
        <v>15</v>
      </c>
      <c r="F4" s="10">
        <v>1024</v>
      </c>
      <c r="G4" s="14">
        <v>0.24485753338047642</v>
      </c>
      <c r="H4" s="23">
        <v>0.23261258384910499</v>
      </c>
      <c r="I4" s="23">
        <v>0.28909649822768779</v>
      </c>
      <c r="J4" s="14">
        <v>0.17432698272571812</v>
      </c>
      <c r="K4" s="22">
        <v>0.24230416115305167</v>
      </c>
    </row>
    <row r="5" spans="1:13" s="10" customFormat="1" x14ac:dyDescent="0.3">
      <c r="A5" s="10" t="s">
        <v>36</v>
      </c>
      <c r="B5" s="10" t="s">
        <v>39</v>
      </c>
      <c r="C5" s="10">
        <v>108</v>
      </c>
      <c r="D5" s="10">
        <v>10</v>
      </c>
      <c r="E5" s="10" t="s">
        <v>15</v>
      </c>
      <c r="F5" s="10" t="s">
        <v>33</v>
      </c>
      <c r="G5" s="12">
        <v>0.15769311847411024</v>
      </c>
      <c r="H5" s="12">
        <v>0.13522040838165575</v>
      </c>
      <c r="I5" s="12">
        <v>0.56788815875355136</v>
      </c>
      <c r="J5" s="12">
        <v>4.3266707537017113E-2</v>
      </c>
      <c r="K5" s="12">
        <v>1</v>
      </c>
    </row>
    <row r="6" spans="1:13" s="10" customFormat="1" ht="15" thickBot="1" x14ac:dyDescent="0.35">
      <c r="A6" s="15" t="s">
        <v>37</v>
      </c>
      <c r="B6" s="15" t="s">
        <v>39</v>
      </c>
      <c r="C6" s="15">
        <v>108</v>
      </c>
      <c r="D6" s="15">
        <v>10</v>
      </c>
      <c r="E6" s="15" t="s">
        <v>15</v>
      </c>
      <c r="F6" s="15" t="s">
        <v>33</v>
      </c>
      <c r="G6" s="16">
        <v>0.13354972014885402</v>
      </c>
      <c r="H6" s="16">
        <v>0.13437566272232782</v>
      </c>
      <c r="I6" s="16">
        <v>0.73153111329499221</v>
      </c>
      <c r="J6" s="16">
        <v>2.1164005912439414E-3</v>
      </c>
      <c r="K6" s="16">
        <v>0.99966606664275282</v>
      </c>
    </row>
    <row r="7" spans="1:13" s="10" customFormat="1" x14ac:dyDescent="0.3">
      <c r="A7" s="10" t="s">
        <v>16</v>
      </c>
      <c r="B7" s="10" t="s">
        <v>42</v>
      </c>
      <c r="C7" s="10">
        <v>108</v>
      </c>
      <c r="D7" s="10">
        <v>10</v>
      </c>
      <c r="E7" s="10" t="s">
        <v>15</v>
      </c>
      <c r="F7" s="10">
        <v>4</v>
      </c>
      <c r="G7" s="12">
        <v>0.15732503704959036</v>
      </c>
      <c r="H7" s="12">
        <v>0.1519677804111173</v>
      </c>
      <c r="I7" s="12">
        <v>0.54579164410000192</v>
      </c>
      <c r="J7" s="12">
        <v>4.4890476972473274E-2</v>
      </c>
      <c r="K7" s="12">
        <v>0.99876750714644014</v>
      </c>
    </row>
    <row r="8" spans="1:13" s="10" customFormat="1" x14ac:dyDescent="0.3">
      <c r="A8" s="13" t="s">
        <v>16</v>
      </c>
      <c r="B8" s="13" t="s">
        <v>42</v>
      </c>
      <c r="C8" s="13">
        <v>108</v>
      </c>
      <c r="D8" s="13">
        <v>10</v>
      </c>
      <c r="E8" s="10" t="s">
        <v>15</v>
      </c>
      <c r="F8" s="10">
        <v>32</v>
      </c>
      <c r="G8" s="12">
        <v>0.20473060886803895</v>
      </c>
      <c r="H8" s="12">
        <v>0.15358425459344774</v>
      </c>
      <c r="I8" s="12">
        <v>0.49918213269565931</v>
      </c>
      <c r="J8" s="12">
        <v>0.11424875290781811</v>
      </c>
      <c r="K8" s="12">
        <v>0.99866785666715374</v>
      </c>
    </row>
    <row r="9" spans="1:13" s="10" customFormat="1" x14ac:dyDescent="0.3">
      <c r="A9" s="13" t="s">
        <v>16</v>
      </c>
      <c r="B9" s="13" t="s">
        <v>42</v>
      </c>
      <c r="C9" s="13">
        <v>108</v>
      </c>
      <c r="D9" s="13">
        <v>10</v>
      </c>
      <c r="E9" s="10" t="s">
        <v>15</v>
      </c>
      <c r="F9" s="10">
        <v>128</v>
      </c>
      <c r="G9" s="14">
        <v>0.23167634263304329</v>
      </c>
      <c r="H9" s="14">
        <v>0.20427517102848455</v>
      </c>
      <c r="I9" s="14">
        <v>0.38388537415087998</v>
      </c>
      <c r="J9" s="14">
        <v>0.16983559685098068</v>
      </c>
      <c r="K9" s="14">
        <v>0.97760723031007024</v>
      </c>
      <c r="L9" s="12"/>
      <c r="M9" s="12"/>
    </row>
    <row r="10" spans="1:13" s="10" customFormat="1" x14ac:dyDescent="0.3">
      <c r="A10" s="13" t="s">
        <v>16</v>
      </c>
      <c r="B10" s="13" t="s">
        <v>42</v>
      </c>
      <c r="C10" s="13">
        <v>108</v>
      </c>
      <c r="D10" s="13">
        <v>10</v>
      </c>
      <c r="E10" s="10" t="s">
        <v>15</v>
      </c>
      <c r="F10" s="10">
        <v>256</v>
      </c>
      <c r="G10" s="14">
        <v>0.23950264837779897</v>
      </c>
      <c r="H10" s="14">
        <v>0.22220457360079585</v>
      </c>
      <c r="I10" s="14">
        <v>0.33703272287630159</v>
      </c>
      <c r="J10" s="14">
        <v>0.17339621039917677</v>
      </c>
      <c r="K10" s="14">
        <v>0.84937843672176461</v>
      </c>
      <c r="L10" s="12"/>
      <c r="M10" s="12"/>
    </row>
    <row r="11" spans="1:13" s="3" customFormat="1" x14ac:dyDescent="0.3">
      <c r="A11" s="13" t="s">
        <v>16</v>
      </c>
      <c r="B11" s="13" t="s">
        <v>42</v>
      </c>
      <c r="C11" s="13">
        <v>108</v>
      </c>
      <c r="D11" s="13">
        <v>10</v>
      </c>
      <c r="E11" s="10" t="s">
        <v>15</v>
      </c>
      <c r="F11" s="10">
        <v>512</v>
      </c>
      <c r="G11" s="14">
        <v>0.23939931351323848</v>
      </c>
      <c r="H11" s="14">
        <v>0.22993961275508598</v>
      </c>
      <c r="I11" s="14">
        <v>0.30909105366896805</v>
      </c>
      <c r="J11" s="14">
        <v>0.17460663905907869</v>
      </c>
      <c r="K11" s="14">
        <v>0.58599999999999997</v>
      </c>
      <c r="L11" s="7"/>
      <c r="M11" s="7"/>
    </row>
    <row r="12" spans="1:13" s="3" customFormat="1" x14ac:dyDescent="0.3">
      <c r="A12" s="25" t="s">
        <v>16</v>
      </c>
      <c r="B12" s="25" t="s">
        <v>42</v>
      </c>
      <c r="C12" s="25">
        <v>108</v>
      </c>
      <c r="D12" s="25">
        <v>10</v>
      </c>
      <c r="E12" s="26" t="s">
        <v>15</v>
      </c>
      <c r="F12" s="26">
        <v>1024</v>
      </c>
      <c r="G12" s="27">
        <v>0.24485753338047642</v>
      </c>
      <c r="H12" s="28">
        <v>0.23261258384910499</v>
      </c>
      <c r="I12" s="39">
        <v>0.28909649822768779</v>
      </c>
      <c r="J12" s="27">
        <v>0.17432698272571812</v>
      </c>
      <c r="K12" s="27">
        <v>0.24230416115305167</v>
      </c>
      <c r="L12" s="7"/>
      <c r="M12" s="7"/>
    </row>
    <row r="13" spans="1:13" s="3" customFormat="1" ht="15" thickBot="1" x14ac:dyDescent="0.35">
      <c r="A13" s="19" t="s">
        <v>16</v>
      </c>
      <c r="B13" s="19" t="s">
        <v>42</v>
      </c>
      <c r="C13" s="19">
        <v>108</v>
      </c>
      <c r="D13" s="19">
        <v>10</v>
      </c>
      <c r="E13" s="15" t="s">
        <v>15</v>
      </c>
      <c r="F13" s="15">
        <v>2048</v>
      </c>
      <c r="G13" s="20">
        <v>0.24967638019933433</v>
      </c>
      <c r="H13" s="20">
        <v>0.23297038095208511</v>
      </c>
      <c r="I13" s="38">
        <v>0.28375868138755311</v>
      </c>
      <c r="J13" s="20">
        <v>0.17512495207811077</v>
      </c>
      <c r="K13" s="20">
        <v>9.2472852169806261E-2</v>
      </c>
      <c r="L13" s="7"/>
      <c r="M13" s="7"/>
    </row>
    <row r="14" spans="1:13" x14ac:dyDescent="0.3">
      <c r="A14" s="13" t="s">
        <v>16</v>
      </c>
      <c r="B14" s="13" t="s">
        <v>43</v>
      </c>
      <c r="C14" s="13">
        <v>108</v>
      </c>
      <c r="D14" s="13">
        <v>10</v>
      </c>
      <c r="E14" s="10" t="s">
        <v>44</v>
      </c>
      <c r="F14" s="10">
        <v>1024</v>
      </c>
      <c r="G14" s="14">
        <v>0.26238938635418846</v>
      </c>
      <c r="H14" s="23">
        <v>0.34474339279080946</v>
      </c>
      <c r="I14" s="23">
        <v>0.12448578310131783</v>
      </c>
      <c r="J14" s="14">
        <v>0.16943878716595454</v>
      </c>
      <c r="K14" s="14">
        <v>6.8625205917610205E-2</v>
      </c>
      <c r="L14" s="7"/>
      <c r="M14" s="7"/>
    </row>
    <row r="15" spans="1:13" x14ac:dyDescent="0.3">
      <c r="A15" s="13" t="s">
        <v>27</v>
      </c>
      <c r="B15" s="13" t="s">
        <v>43</v>
      </c>
      <c r="C15" s="13">
        <v>108</v>
      </c>
      <c r="D15" s="13">
        <v>10</v>
      </c>
      <c r="E15" s="10" t="s">
        <v>44</v>
      </c>
      <c r="F15" s="10">
        <v>4</v>
      </c>
      <c r="G15" s="14">
        <v>0.29572337630915385</v>
      </c>
      <c r="H15" s="22">
        <v>0.47841726362498238</v>
      </c>
      <c r="I15" s="22">
        <v>1.5801493289473E-3</v>
      </c>
      <c r="J15" s="14">
        <v>0.13240551824823327</v>
      </c>
      <c r="K15" s="14">
        <v>0</v>
      </c>
      <c r="L15" s="7"/>
      <c r="M15" s="7"/>
    </row>
    <row r="16" spans="1:13" ht="15" thickBot="1" x14ac:dyDescent="0.35">
      <c r="A16" s="19" t="s">
        <v>46</v>
      </c>
      <c r="B16" s="19" t="s">
        <v>43</v>
      </c>
      <c r="C16" s="19">
        <v>108</v>
      </c>
      <c r="D16" s="19">
        <v>10</v>
      </c>
      <c r="E16" s="15" t="s">
        <v>44</v>
      </c>
      <c r="F16" s="15">
        <v>4</v>
      </c>
      <c r="G16" s="20">
        <v>0.13253720495483173</v>
      </c>
      <c r="H16" s="20">
        <v>0.13179946960298769</v>
      </c>
      <c r="I16" s="20">
        <v>0.7362410377035904</v>
      </c>
      <c r="J16" s="20">
        <v>1.7730488914794416E-2</v>
      </c>
      <c r="K16" s="20">
        <v>0.99984168427186793</v>
      </c>
      <c r="L16" s="7"/>
      <c r="M16" s="7"/>
    </row>
    <row r="17" spans="1:11" s="10" customFormat="1" ht="29.4" thickBot="1" x14ac:dyDescent="0.35">
      <c r="A17" s="17" t="s">
        <v>27</v>
      </c>
      <c r="B17" s="17" t="s">
        <v>45</v>
      </c>
      <c r="C17" s="17">
        <v>108</v>
      </c>
      <c r="D17" s="17">
        <v>50</v>
      </c>
      <c r="E17" s="17" t="s">
        <v>40</v>
      </c>
      <c r="F17" s="17">
        <v>4</v>
      </c>
      <c r="G17" s="18">
        <v>0.83899999999999997</v>
      </c>
      <c r="H17" s="24">
        <v>0.83899999999999997</v>
      </c>
      <c r="I17" s="18" t="s">
        <v>33</v>
      </c>
      <c r="J17" s="18" t="s">
        <v>33</v>
      </c>
      <c r="K17" s="18" t="s">
        <v>33</v>
      </c>
    </row>
    <row r="18" spans="1:11" s="10" customFormat="1" x14ac:dyDescent="0.3">
      <c r="A18" s="29" t="s">
        <v>31</v>
      </c>
      <c r="B18" s="29" t="s">
        <v>41</v>
      </c>
      <c r="C18" s="29">
        <v>5</v>
      </c>
      <c r="D18" s="29">
        <v>10</v>
      </c>
      <c r="E18" s="29" t="s">
        <v>15</v>
      </c>
      <c r="F18" s="29" t="s">
        <v>33</v>
      </c>
      <c r="G18" s="30">
        <v>0.22027156223697564</v>
      </c>
      <c r="H18" s="31">
        <v>0.22294209158091363</v>
      </c>
      <c r="I18" s="30">
        <v>0.36816454789983838</v>
      </c>
      <c r="J18" s="30">
        <v>0.10548931116914892</v>
      </c>
      <c r="K18" s="30">
        <v>9.6545397556776335E-3</v>
      </c>
    </row>
    <row r="19" spans="1:11" s="10" customFormat="1" x14ac:dyDescent="0.3">
      <c r="A19" s="10" t="s">
        <v>27</v>
      </c>
      <c r="B19" s="10" t="s">
        <v>41</v>
      </c>
      <c r="C19" s="10">
        <v>5</v>
      </c>
      <c r="D19" s="10">
        <v>10</v>
      </c>
      <c r="E19" s="10" t="s">
        <v>15</v>
      </c>
      <c r="F19" s="10">
        <v>4</v>
      </c>
      <c r="G19" s="12">
        <v>0.11416525262649409</v>
      </c>
      <c r="H19" s="12">
        <v>0.11418747218946616</v>
      </c>
      <c r="I19" s="40">
        <v>0</v>
      </c>
      <c r="J19" s="12">
        <v>0.13694497620065998</v>
      </c>
      <c r="K19" s="12">
        <v>0</v>
      </c>
    </row>
    <row r="20" spans="1:11" s="10" customFormat="1" x14ac:dyDescent="0.3">
      <c r="A20" s="32" t="s">
        <v>16</v>
      </c>
      <c r="B20" s="32" t="s">
        <v>41</v>
      </c>
      <c r="C20" s="32">
        <v>5</v>
      </c>
      <c r="D20" s="32">
        <v>10</v>
      </c>
      <c r="E20" s="32" t="s">
        <v>15</v>
      </c>
      <c r="F20" s="32">
        <v>1024</v>
      </c>
      <c r="G20" s="33">
        <v>0.11492325537745231</v>
      </c>
      <c r="H20" s="33">
        <v>0.11529370485843375</v>
      </c>
      <c r="I20" s="41">
        <v>-1.8044220026543673E-4</v>
      </c>
      <c r="J20" s="33">
        <v>0.13739666913946461</v>
      </c>
      <c r="K20" s="33">
        <v>-6.5833945610350769E-4</v>
      </c>
    </row>
    <row r="21" spans="1:11" s="10" customFormat="1" x14ac:dyDescent="0.3">
      <c r="A21" s="34" t="s">
        <v>31</v>
      </c>
      <c r="B21" s="34" t="s">
        <v>41</v>
      </c>
      <c r="C21" s="34">
        <v>10</v>
      </c>
      <c r="D21" s="34">
        <v>10</v>
      </c>
      <c r="E21" s="34" t="s">
        <v>15</v>
      </c>
      <c r="F21" s="34" t="s">
        <v>33</v>
      </c>
      <c r="G21" s="35">
        <v>0.15334774250582342</v>
      </c>
      <c r="H21" s="36">
        <v>0.18030344777115345</v>
      </c>
      <c r="I21" s="35">
        <v>0.51783197653174562</v>
      </c>
      <c r="J21" s="35">
        <v>3.7729413548213894E-2</v>
      </c>
      <c r="K21" s="35">
        <v>0.31168613697620429</v>
      </c>
    </row>
    <row r="22" spans="1:11" s="10" customFormat="1" x14ac:dyDescent="0.3">
      <c r="A22" s="10" t="s">
        <v>27</v>
      </c>
      <c r="B22" s="10" t="s">
        <v>41</v>
      </c>
      <c r="C22" s="10">
        <v>10</v>
      </c>
      <c r="D22" s="10">
        <v>10</v>
      </c>
      <c r="E22" s="10" t="s">
        <v>15</v>
      </c>
      <c r="F22" s="10">
        <v>4</v>
      </c>
      <c r="G22" s="12">
        <v>0.11457637621572719</v>
      </c>
      <c r="H22" s="12">
        <v>0.11470374154547851</v>
      </c>
      <c r="I22" s="40">
        <v>0</v>
      </c>
      <c r="J22" s="12">
        <v>0.13718597466746951</v>
      </c>
      <c r="K22" s="12">
        <v>0</v>
      </c>
    </row>
    <row r="23" spans="1:11" s="10" customFormat="1" x14ac:dyDescent="0.3">
      <c r="A23" s="32" t="s">
        <v>16</v>
      </c>
      <c r="B23" s="32" t="s">
        <v>41</v>
      </c>
      <c r="C23" s="32">
        <v>10</v>
      </c>
      <c r="D23" s="32">
        <v>10</v>
      </c>
      <c r="E23" s="32" t="s">
        <v>15</v>
      </c>
      <c r="F23" s="32">
        <v>1024</v>
      </c>
      <c r="G23" s="33">
        <v>0.11624189459647967</v>
      </c>
      <c r="H23" s="33">
        <v>0.11723096126759919</v>
      </c>
      <c r="I23" s="41">
        <v>-4.9058816399933172E-4</v>
      </c>
      <c r="J23" s="33">
        <v>0.13821385967562486</v>
      </c>
      <c r="K23" s="33">
        <v>-1.2237780404949436E-3</v>
      </c>
    </row>
    <row r="24" spans="1:11" s="10" customFormat="1" x14ac:dyDescent="0.3">
      <c r="A24" s="10" t="s">
        <v>31</v>
      </c>
      <c r="B24" s="10" t="s">
        <v>41</v>
      </c>
      <c r="C24" s="10">
        <v>20</v>
      </c>
      <c r="D24" s="10">
        <v>10</v>
      </c>
      <c r="E24" s="10" t="s">
        <v>15</v>
      </c>
      <c r="F24" s="10" t="s">
        <v>33</v>
      </c>
      <c r="G24" s="12">
        <v>0.13203833063934339</v>
      </c>
      <c r="H24" s="12">
        <v>0.13774578729751519</v>
      </c>
      <c r="I24" s="12">
        <v>0.55205337658395925</v>
      </c>
      <c r="J24" s="12">
        <v>2.3916399660979536E-2</v>
      </c>
      <c r="K24" s="12">
        <v>0.99983080579656847</v>
      </c>
    </row>
    <row r="25" spans="1:11" s="10" customFormat="1" x14ac:dyDescent="0.3">
      <c r="A25" s="10" t="s">
        <v>27</v>
      </c>
      <c r="B25" s="10" t="s">
        <v>41</v>
      </c>
      <c r="C25" s="10">
        <v>20</v>
      </c>
      <c r="D25" s="10">
        <v>10</v>
      </c>
      <c r="E25" s="10" t="s">
        <v>15</v>
      </c>
      <c r="F25" s="10">
        <v>4</v>
      </c>
      <c r="G25" s="12">
        <v>0.11530360901030719</v>
      </c>
      <c r="H25" s="12">
        <v>0.11553593537104866</v>
      </c>
      <c r="I25" s="12">
        <v>4.9886123936934004E-7</v>
      </c>
      <c r="J25" s="12">
        <v>0.13775260520220994</v>
      </c>
      <c r="K25" s="12">
        <v>0</v>
      </c>
    </row>
    <row r="26" spans="1:11" s="10" customFormat="1" ht="15" thickBot="1" x14ac:dyDescent="0.35">
      <c r="A26" s="15" t="s">
        <v>16</v>
      </c>
      <c r="B26" s="15" t="s">
        <v>41</v>
      </c>
      <c r="C26" s="15">
        <v>20</v>
      </c>
      <c r="D26" s="15">
        <v>10</v>
      </c>
      <c r="E26" s="15" t="s">
        <v>15</v>
      </c>
      <c r="F26" s="15">
        <v>1024</v>
      </c>
      <c r="G26" s="16">
        <v>0.13591204990994898</v>
      </c>
      <c r="H26" s="37">
        <v>0.16498047468323596</v>
      </c>
      <c r="I26" s="37">
        <v>-8.6248895199481472E-3</v>
      </c>
      <c r="J26" s="16">
        <v>0.13996980422152355</v>
      </c>
      <c r="K26" s="16">
        <v>3.7774717698730179E-3</v>
      </c>
    </row>
    <row r="27" spans="1:11" s="10" customFormat="1" ht="15" thickBot="1" x14ac:dyDescent="0.35">
      <c r="A27" s="17" t="s">
        <v>35</v>
      </c>
      <c r="B27" s="17" t="s">
        <v>60</v>
      </c>
      <c r="C27" s="17">
        <v>108</v>
      </c>
      <c r="D27" s="17">
        <v>10</v>
      </c>
      <c r="E27" s="17" t="s">
        <v>15</v>
      </c>
      <c r="F27" s="17">
        <v>1024</v>
      </c>
      <c r="G27" s="18">
        <v>0.2903167520811602</v>
      </c>
      <c r="H27" s="18">
        <v>0.44579753627638402</v>
      </c>
      <c r="I27" s="18">
        <v>3.9008531331395188E-2</v>
      </c>
      <c r="J27" s="18">
        <v>0.14769557823591228</v>
      </c>
      <c r="K27" s="18">
        <v>6.7445686536808996E-3</v>
      </c>
    </row>
    <row r="28" spans="1:11" s="10" customFormat="1" x14ac:dyDescent="0.3">
      <c r="G28" s="12"/>
      <c r="H28" s="12"/>
      <c r="I28" s="12"/>
      <c r="J28" s="12"/>
      <c r="K28" s="12"/>
    </row>
    <row r="29" spans="1:11" s="10" customFormat="1" x14ac:dyDescent="0.3">
      <c r="G29" s="12"/>
      <c r="H29" s="12"/>
      <c r="I29" s="12"/>
      <c r="J29" s="12"/>
      <c r="K29" s="12"/>
    </row>
    <row r="30" spans="1:11" s="10" customFormat="1" x14ac:dyDescent="0.3">
      <c r="G30" s="12"/>
      <c r="H30" s="12"/>
      <c r="I30" s="12"/>
      <c r="J30" s="12"/>
      <c r="K30" s="12"/>
    </row>
    <row r="31" spans="1:11" s="10" customFormat="1" x14ac:dyDescent="0.3">
      <c r="G31" s="12"/>
      <c r="H31" s="12"/>
      <c r="I31" s="12"/>
      <c r="J31" s="12"/>
      <c r="K31" s="12"/>
    </row>
    <row r="32" spans="1:11" s="10" customFormat="1" x14ac:dyDescent="0.3">
      <c r="G32" s="12"/>
      <c r="H32" s="12"/>
      <c r="I32" s="12"/>
      <c r="J32" s="12"/>
      <c r="K32" s="12"/>
    </row>
    <row r="33" spans="7:11" s="10" customFormat="1" x14ac:dyDescent="0.3">
      <c r="G33" s="12"/>
      <c r="H33" s="12"/>
      <c r="I33" s="12"/>
      <c r="J33" s="12"/>
      <c r="K33" s="12"/>
    </row>
    <row r="34" spans="7:11" s="10" customFormat="1" ht="86.4" customHeight="1" x14ac:dyDescent="0.3"/>
    <row r="35" spans="7:11" s="10" customFormat="1" x14ac:dyDescent="0.3"/>
    <row r="36" spans="7:11" s="10" customFormat="1" x14ac:dyDescent="0.3"/>
    <row r="37" spans="7:11" s="10" customFormat="1" x14ac:dyDescent="0.3"/>
    <row r="38" spans="7:11" s="10" customFormat="1" x14ac:dyDescent="0.3"/>
    <row r="39" spans="7:11" s="10" customFormat="1" x14ac:dyDescent="0.3"/>
    <row r="40" spans="7:11" s="10" customFormat="1" x14ac:dyDescent="0.3"/>
    <row r="41" spans="7:11" s="10" customFormat="1" x14ac:dyDescent="0.3"/>
    <row r="42" spans="7:11" s="10" customFormat="1" x14ac:dyDescent="0.3"/>
    <row r="43" spans="7:11" s="10" customFormat="1" x14ac:dyDescent="0.3"/>
    <row r="44" spans="7:11" s="10" customFormat="1" ht="86.4" customHeight="1" x14ac:dyDescent="0.3"/>
    <row r="45" spans="7:11" s="10" customFormat="1" x14ac:dyDescent="0.3"/>
    <row r="46" spans="7:11" s="10" customFormat="1" x14ac:dyDescent="0.3"/>
    <row r="47" spans="7:11" s="10" customFormat="1" x14ac:dyDescent="0.3"/>
    <row r="48" spans="7:11" s="10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  <row r="58" s="10" customFormat="1" x14ac:dyDescent="0.3"/>
    <row r="59" s="10" customFormat="1" x14ac:dyDescent="0.3"/>
    <row r="60" s="10" customFormat="1" x14ac:dyDescent="0.3"/>
    <row r="61" s="10" customFormat="1" x14ac:dyDescent="0.3"/>
    <row r="62" s="10" customFormat="1" x14ac:dyDescent="0.3"/>
    <row r="63" s="10" customFormat="1" x14ac:dyDescent="0.3"/>
    <row r="64" s="10" customFormat="1" x14ac:dyDescent="0.3"/>
    <row r="65" spans="1:13" x14ac:dyDescent="0.3">
      <c r="L65" s="7"/>
      <c r="M65" s="7"/>
    </row>
    <row r="66" spans="1:13" x14ac:dyDescent="0.3">
      <c r="L66" s="7"/>
      <c r="M66" s="7"/>
    </row>
    <row r="67" spans="1:13" ht="57.6" customHeight="1" x14ac:dyDescent="0.3">
      <c r="L67" s="7"/>
      <c r="M67" s="7"/>
    </row>
    <row r="68" spans="1:13" ht="14.4" customHeight="1" x14ac:dyDescent="0.3">
      <c r="L68" s="7"/>
      <c r="M68" s="7"/>
    </row>
    <row r="69" spans="1:13" x14ac:dyDescent="0.3">
      <c r="L69" s="7"/>
      <c r="M69" s="7"/>
    </row>
    <row r="70" spans="1:13" x14ac:dyDescent="0.3">
      <c r="L70" s="7"/>
      <c r="M70" s="7"/>
    </row>
    <row r="71" spans="1:13" x14ac:dyDescent="0.3">
      <c r="L71" s="7"/>
      <c r="M71" s="7"/>
    </row>
    <row r="72" spans="1:13" x14ac:dyDescent="0.3">
      <c r="L72" s="7"/>
      <c r="M72" s="7"/>
    </row>
    <row r="73" spans="1:13" x14ac:dyDescent="0.3">
      <c r="L73" s="7"/>
      <c r="M73" s="7"/>
    </row>
    <row r="74" spans="1:13" x14ac:dyDescent="0.3">
      <c r="L74" s="7"/>
      <c r="M74" s="7"/>
    </row>
    <row r="75" spans="1:13" x14ac:dyDescent="0.3">
      <c r="L75" s="7"/>
      <c r="M75" s="7"/>
    </row>
    <row r="76" spans="1:13" x14ac:dyDescent="0.3">
      <c r="L76" s="7"/>
      <c r="M76" s="7"/>
    </row>
    <row r="77" spans="1:13" x14ac:dyDescent="0.3">
      <c r="L77" s="7"/>
      <c r="M77" s="7"/>
    </row>
    <row r="78" spans="1:13" x14ac:dyDescent="0.3">
      <c r="L78" s="7"/>
      <c r="M78" s="7"/>
    </row>
    <row r="79" spans="1:13" x14ac:dyDescent="0.3">
      <c r="L79" s="7"/>
      <c r="M79" s="7"/>
    </row>
    <row r="80" spans="1:13" s="3" customFormat="1" x14ac:dyDescent="0.3">
      <c r="A80"/>
      <c r="B80"/>
      <c r="C80"/>
      <c r="D80"/>
      <c r="G80" s="1"/>
      <c r="H80" s="1"/>
      <c r="I80" s="1"/>
      <c r="J80" s="1"/>
      <c r="K80" s="1"/>
      <c r="L80" s="7"/>
      <c r="M80" s="7"/>
    </row>
    <row r="81" spans="1:13" s="3" customFormat="1" x14ac:dyDescent="0.3">
      <c r="A81"/>
      <c r="B81"/>
      <c r="C81"/>
      <c r="D81"/>
      <c r="G81" s="1"/>
      <c r="H81" s="1"/>
      <c r="I81" s="1"/>
      <c r="J81" s="1"/>
      <c r="K81" s="1"/>
      <c r="L81" s="7"/>
      <c r="M81" s="7"/>
    </row>
    <row r="82" spans="1:13" s="3" customFormat="1" x14ac:dyDescent="0.3">
      <c r="A82"/>
      <c r="B82"/>
      <c r="C82"/>
      <c r="D82"/>
      <c r="G82" s="1"/>
      <c r="H82" s="1"/>
      <c r="I82" s="1"/>
      <c r="J82" s="1"/>
      <c r="K82" s="1"/>
      <c r="L82" s="7"/>
      <c r="M82" s="7"/>
    </row>
    <row r="83" spans="1:13" x14ac:dyDescent="0.3">
      <c r="L83" s="7"/>
      <c r="M83" s="7"/>
    </row>
    <row r="84" spans="1:13" x14ac:dyDescent="0.3">
      <c r="L84" s="7"/>
      <c r="M84" s="7"/>
    </row>
    <row r="85" spans="1:13" x14ac:dyDescent="0.3">
      <c r="L85" s="7"/>
      <c r="M85" s="7"/>
    </row>
    <row r="86" spans="1:13" x14ac:dyDescent="0.3">
      <c r="L86" s="7"/>
      <c r="M86" s="7"/>
    </row>
    <row r="87" spans="1:13" x14ac:dyDescent="0.3">
      <c r="L87" s="7"/>
      <c r="M87" s="7"/>
    </row>
    <row r="88" spans="1:13" x14ac:dyDescent="0.3">
      <c r="L88" s="7"/>
      <c r="M88" s="7"/>
    </row>
    <row r="89" spans="1:13" x14ac:dyDescent="0.3">
      <c r="L89" s="7"/>
      <c r="M89" s="7"/>
    </row>
    <row r="90" spans="1:13" x14ac:dyDescent="0.3">
      <c r="L90" s="7"/>
      <c r="M90" s="7"/>
    </row>
    <row r="91" spans="1:13" x14ac:dyDescent="0.3">
      <c r="L91" s="7"/>
      <c r="M91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11B-D876-4B9B-93CA-8E807BA4C5D5}">
  <dimension ref="A1:M10"/>
  <sheetViews>
    <sheetView workbookViewId="0">
      <selection activeCell="M9" sqref="M9"/>
    </sheetView>
  </sheetViews>
  <sheetFormatPr defaultRowHeight="14.4" x14ac:dyDescent="0.3"/>
  <cols>
    <col min="1" max="1" width="15.88671875" customWidth="1"/>
    <col min="2" max="2" width="10.77734375" customWidth="1"/>
    <col min="3" max="3" width="12.77734375" customWidth="1"/>
    <col min="4" max="4" width="11" customWidth="1"/>
    <col min="13" max="13" width="14.44140625" customWidth="1"/>
  </cols>
  <sheetData>
    <row r="1" spans="1:13" x14ac:dyDescent="0.3">
      <c r="A1" s="43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43.2" x14ac:dyDescent="0.3">
      <c r="A2" s="3"/>
      <c r="B2" s="3" t="s">
        <v>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17</v>
      </c>
      <c r="I2" s="4" t="s">
        <v>4</v>
      </c>
      <c r="J2" s="4" t="s">
        <v>11</v>
      </c>
      <c r="K2" s="4" t="s">
        <v>5</v>
      </c>
      <c r="L2" s="4" t="s">
        <v>2</v>
      </c>
      <c r="M2" s="4" t="s">
        <v>12</v>
      </c>
    </row>
    <row r="3" spans="1:13" x14ac:dyDescent="0.3">
      <c r="A3" s="3" t="s">
        <v>6</v>
      </c>
      <c r="B3" s="7">
        <v>0</v>
      </c>
      <c r="C3" s="7">
        <v>0.84096018224954605</v>
      </c>
      <c r="D3" s="7">
        <v>8.2179356953323201E-4</v>
      </c>
      <c r="E3" s="7">
        <v>1.00506364375026E-3</v>
      </c>
      <c r="F3" s="7">
        <v>5.4280145388929599E-3</v>
      </c>
      <c r="G3" s="7">
        <v>0</v>
      </c>
      <c r="H3" s="7">
        <v>9.4792931655926296E-3</v>
      </c>
      <c r="I3" s="7">
        <f t="shared" ref="I3:I8" si="0">AVERAGE(C3:H3)</f>
        <v>0.1429490578612192</v>
      </c>
      <c r="J3" s="7"/>
      <c r="K3" s="7">
        <f>MAX(C3-H3, D3-H3,E3-H3,F3-H3, G3 - H3)</f>
        <v>0.83148088908395346</v>
      </c>
      <c r="L3" s="7"/>
      <c r="M3" s="3"/>
    </row>
    <row r="4" spans="1:13" x14ac:dyDescent="0.3">
      <c r="A4" s="3" t="s">
        <v>7</v>
      </c>
      <c r="B4" s="7">
        <v>0</v>
      </c>
      <c r="C4" s="7">
        <v>1.18217091464127E-4</v>
      </c>
      <c r="D4" s="7">
        <v>0.82076875865459398</v>
      </c>
      <c r="E4" s="7">
        <v>3.9270950674108402E-3</v>
      </c>
      <c r="F4" s="7">
        <v>2.62793191495802E-3</v>
      </c>
      <c r="G4" s="7">
        <v>1.0371652857429499E-2</v>
      </c>
      <c r="H4" s="7">
        <v>0</v>
      </c>
      <c r="I4" s="7">
        <f t="shared" si="0"/>
        <v>0.1396356092643094</v>
      </c>
      <c r="J4" s="7"/>
      <c r="K4" s="7">
        <f t="shared" ref="K4:K5" si="1">MAX(C4-H4, D4-H4,E4-H4,F4-H4, G4 - H4)</f>
        <v>0.82076875865459398</v>
      </c>
      <c r="L4" s="7">
        <f>C4</f>
        <v>1.18217091464127E-4</v>
      </c>
      <c r="M4" s="3"/>
    </row>
    <row r="5" spans="1:13" x14ac:dyDescent="0.3">
      <c r="A5" s="3" t="s">
        <v>8</v>
      </c>
      <c r="B5" s="7">
        <v>0.68415092180172599</v>
      </c>
      <c r="C5" s="7">
        <v>7.6356304058814795E-4</v>
      </c>
      <c r="D5" s="7">
        <v>1.37706731766229E-3</v>
      </c>
      <c r="E5" s="7">
        <v>0.81914410491784395</v>
      </c>
      <c r="F5" s="7">
        <v>0.248096253722906</v>
      </c>
      <c r="G5" s="7">
        <v>6.33239280530991E-3</v>
      </c>
      <c r="H5" s="7">
        <v>4.0091636210490798E-3</v>
      </c>
      <c r="I5" s="7">
        <f t="shared" si="0"/>
        <v>0.17995375757089319</v>
      </c>
      <c r="J5" s="7"/>
      <c r="K5" s="7">
        <f t="shared" si="1"/>
        <v>0.81513494129679487</v>
      </c>
      <c r="L5" s="7">
        <f>AVERAGE(C5,D5)</f>
        <v>1.0703151791252191E-3</v>
      </c>
      <c r="M5" s="3"/>
    </row>
    <row r="6" spans="1:13" x14ac:dyDescent="0.3">
      <c r="A6" s="3" t="s">
        <v>9</v>
      </c>
      <c r="B6" s="7">
        <v>0</v>
      </c>
      <c r="C6" s="7">
        <v>0</v>
      </c>
      <c r="D6" s="7">
        <v>3.09389530836294E-5</v>
      </c>
      <c r="E6" s="7">
        <v>1.0662849478800701E-2</v>
      </c>
      <c r="F6" s="7">
        <v>0.47731270392735797</v>
      </c>
      <c r="G6" s="7">
        <v>0</v>
      </c>
      <c r="H6" s="7">
        <v>1.47730558334539E-6</v>
      </c>
      <c r="I6" s="7">
        <f t="shared" si="0"/>
        <v>8.1334661610804285E-2</v>
      </c>
      <c r="J6" s="7"/>
      <c r="K6" s="7">
        <f>MAX(C6-H6, D6-H6,E6-H6,F6-H6, G6 - H6)</f>
        <v>0.47731122662177461</v>
      </c>
      <c r="L6" s="7">
        <f>AVERAGE(C6, D6, E6)</f>
        <v>3.5645961439614432E-3</v>
      </c>
      <c r="M6" s="3"/>
    </row>
    <row r="7" spans="1:13" x14ac:dyDescent="0.3">
      <c r="A7" s="3" t="s">
        <v>10</v>
      </c>
      <c r="B7" s="7">
        <v>0</v>
      </c>
      <c r="C7" s="7">
        <v>0</v>
      </c>
      <c r="D7" s="7">
        <v>1.15939319354462E-2</v>
      </c>
      <c r="E7" s="7">
        <v>1.46074298906266E-3</v>
      </c>
      <c r="F7" s="7">
        <v>1.2570836436983201E-6</v>
      </c>
      <c r="G7" s="7">
        <v>0.72590697556733996</v>
      </c>
      <c r="H7" s="7">
        <v>1.29472247494959E-2</v>
      </c>
      <c r="I7" s="7">
        <f t="shared" si="0"/>
        <v>0.12531835538749808</v>
      </c>
      <c r="J7" s="7"/>
      <c r="K7" s="7">
        <f>MAX(C7-H7, D7-H7,E7-H7,F7-H7, G7 - H7)</f>
        <v>0.71295975081784402</v>
      </c>
      <c r="L7" s="7">
        <f>AVERAGE(C7, D7, E7,F7)</f>
        <v>3.2639830020381399E-3</v>
      </c>
      <c r="M7" s="3"/>
    </row>
    <row r="8" spans="1:13" x14ac:dyDescent="0.3">
      <c r="A8" s="3" t="s">
        <v>17</v>
      </c>
      <c r="B8" s="7">
        <v>0</v>
      </c>
      <c r="C8" s="7">
        <v>7.4031699393041503E-3</v>
      </c>
      <c r="D8" s="7">
        <v>0</v>
      </c>
      <c r="E8" s="7">
        <v>1.5047098116838201E-3</v>
      </c>
      <c r="F8" s="7">
        <v>0</v>
      </c>
      <c r="G8" s="7">
        <v>3.91657794716593E-3</v>
      </c>
      <c r="H8" s="7">
        <v>0.77981681749224596</v>
      </c>
      <c r="I8" s="7">
        <f t="shared" si="0"/>
        <v>0.13210687919839997</v>
      </c>
      <c r="J8" s="7"/>
      <c r="K8" s="7"/>
      <c r="L8" s="7">
        <f>AVERAGE(C8, D8, E8,F8, G8)</f>
        <v>2.5648915396307799E-3</v>
      </c>
      <c r="M8" s="3"/>
    </row>
    <row r="9" spans="1:13" ht="28.8" x14ac:dyDescent="0.3">
      <c r="A9" s="3" t="s">
        <v>1</v>
      </c>
      <c r="B9" s="7">
        <v>0.97939328849315599</v>
      </c>
      <c r="C9" s="7">
        <v>2.0400761859491398E-3</v>
      </c>
      <c r="D9" s="7">
        <v>3.13765995088033E-4</v>
      </c>
      <c r="E9" s="7">
        <v>2.3184830206446302E-3</v>
      </c>
      <c r="F9" s="7">
        <v>2.13265646016225E-3</v>
      </c>
      <c r="G9" s="7">
        <v>1.9627124856924601E-5</v>
      </c>
      <c r="H9" s="7">
        <v>3.2705208889183198E-4</v>
      </c>
      <c r="I9" s="3"/>
      <c r="J9" s="3"/>
      <c r="K9" s="3"/>
      <c r="L9" s="3"/>
      <c r="M9" s="21">
        <f>(B9-H9)/B9</f>
        <v>0.99966606664275282</v>
      </c>
    </row>
    <row r="10" spans="1:13" x14ac:dyDescent="0.3">
      <c r="A10" s="4" t="s">
        <v>3</v>
      </c>
      <c r="B10" s="21"/>
      <c r="C10" s="21"/>
      <c r="D10" s="21"/>
      <c r="E10" s="21"/>
      <c r="F10" s="21"/>
      <c r="G10" s="21"/>
      <c r="H10" s="21"/>
      <c r="I10" s="21">
        <f>AVERAGE(I3:I8)</f>
        <v>0.13354972014885402</v>
      </c>
      <c r="J10" s="21">
        <f>AVERAGE(H3:H8)</f>
        <v>0.13437566272232782</v>
      </c>
      <c r="K10" s="21">
        <f>AVERAGE(K3:K7)</f>
        <v>0.73153111329499221</v>
      </c>
      <c r="L10" s="21">
        <f>AVERAGE(L3:L9)</f>
        <v>2.1164005912439414E-3</v>
      </c>
      <c r="M10" s="4"/>
    </row>
  </sheetData>
  <mergeCells count="1">
    <mergeCell ref="A1:M1"/>
  </mergeCells>
  <conditionalFormatting sqref="B3:H9">
    <cfRule type="cellIs" dxfId="144" priority="1" operator="between">
      <formula>0.1</formula>
      <formula>0.2</formula>
    </cfRule>
    <cfRule type="cellIs" dxfId="143" priority="2" operator="between">
      <formula>0.2</formula>
      <formula>0.4</formula>
    </cfRule>
    <cfRule type="cellIs" dxfId="142" priority="3" operator="between">
      <formula>0.4</formula>
      <formula>0.6</formula>
    </cfRule>
    <cfRule type="cellIs" dxfId="141" priority="4" operator="between">
      <formula>0.6</formula>
      <formula>0.8</formula>
    </cfRule>
    <cfRule type="cellIs" dxfId="140" priority="5" operator="between">
      <formula>0.8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4F17-EBEA-4375-B19F-721DE920AD42}">
  <dimension ref="A1:M153"/>
  <sheetViews>
    <sheetView tabSelected="1" topLeftCell="I1" workbookViewId="0">
      <selection activeCell="U10" sqref="U10"/>
    </sheetView>
  </sheetViews>
  <sheetFormatPr defaultRowHeight="14.4" x14ac:dyDescent="0.3"/>
  <cols>
    <col min="1" max="1" width="18.33203125" style="3" bestFit="1" customWidth="1"/>
    <col min="2" max="2" width="9.44140625" bestFit="1" customWidth="1"/>
    <col min="3" max="3" width="11.44140625" bestFit="1" customWidth="1"/>
    <col min="4" max="4" width="11.33203125" bestFit="1" customWidth="1"/>
    <col min="5" max="5" width="7.6640625" bestFit="1" customWidth="1"/>
    <col min="6" max="6" width="7.88671875" customWidth="1"/>
    <col min="7" max="7" width="14.6640625" bestFit="1" customWidth="1"/>
    <col min="8" max="8" width="17.44140625" customWidth="1"/>
    <col min="9" max="9" width="15.6640625" customWidth="1"/>
    <col min="10" max="10" width="16.33203125" customWidth="1"/>
    <col min="11" max="11" width="12.109375" customWidth="1"/>
    <col min="12" max="12" width="10.33203125" customWidth="1"/>
    <col min="13" max="13" width="13.88671875" bestFit="1" customWidth="1"/>
  </cols>
  <sheetData>
    <row r="1" spans="1:13" s="6" customFormat="1" x14ac:dyDescent="0.3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s="3" customFormat="1" ht="28.8" x14ac:dyDescent="0.3">
      <c r="B2" s="3" t="s">
        <v>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17</v>
      </c>
      <c r="I2" s="4" t="s">
        <v>4</v>
      </c>
      <c r="J2" s="4" t="s">
        <v>11</v>
      </c>
      <c r="K2" s="4" t="s">
        <v>5</v>
      </c>
      <c r="L2" s="4" t="s">
        <v>2</v>
      </c>
      <c r="M2" s="4" t="s">
        <v>12</v>
      </c>
    </row>
    <row r="3" spans="1:13" x14ac:dyDescent="0.3">
      <c r="A3" t="s">
        <v>6</v>
      </c>
      <c r="B3" s="1">
        <v>0</v>
      </c>
      <c r="C3" s="1">
        <v>0.45270412104825097</v>
      </c>
      <c r="D3" s="1">
        <v>0.31627560531099602</v>
      </c>
      <c r="E3" s="1">
        <v>0.101938004915912</v>
      </c>
      <c r="F3" s="1">
        <v>0.11073881584161401</v>
      </c>
      <c r="G3" s="1">
        <v>0.24201513081789</v>
      </c>
      <c r="H3" s="1">
        <v>1.5212982711091101E-2</v>
      </c>
      <c r="I3" s="1">
        <f t="shared" ref="I3:I8" si="0">AVERAGE(C3:H3)</f>
        <v>0.20648077677429236</v>
      </c>
      <c r="J3" s="1"/>
      <c r="K3" s="1">
        <f>MAX(C3-H3, D3-H3,E3-H3,F3-H3, G3 - H3)</f>
        <v>0.43749113833715986</v>
      </c>
      <c r="L3" s="1"/>
      <c r="M3" s="2" t="e">
        <f>(B3-H3)/B3</f>
        <v>#DIV/0!</v>
      </c>
    </row>
    <row r="4" spans="1:13" x14ac:dyDescent="0.3">
      <c r="A4" t="s">
        <v>7</v>
      </c>
      <c r="B4" s="1">
        <v>0</v>
      </c>
      <c r="C4" s="1">
        <v>0.24097093276213799</v>
      </c>
      <c r="D4" s="1">
        <v>0.53141282126307399</v>
      </c>
      <c r="E4" s="1">
        <v>0.164410493336617</v>
      </c>
      <c r="F4" s="1">
        <v>5.75049914477858E-2</v>
      </c>
      <c r="G4" s="1">
        <v>0.289491051807999</v>
      </c>
      <c r="H4" s="1">
        <v>1.0269031048968201E-2</v>
      </c>
      <c r="I4" s="1">
        <f t="shared" si="0"/>
        <v>0.21567655361109697</v>
      </c>
      <c r="J4" s="1"/>
      <c r="K4" s="1">
        <f t="shared" ref="K4:K5" si="1">MAX(C4-H4, D4-H4,E4-H4,F4-H4, G4 - H4)</f>
        <v>0.52114379021410584</v>
      </c>
      <c r="L4" s="1">
        <f>C4</f>
        <v>0.24097093276213799</v>
      </c>
      <c r="M4" s="2" t="e">
        <f t="shared" ref="M4:M8" si="2">(B4-H4)/B4</f>
        <v>#DIV/0!</v>
      </c>
    </row>
    <row r="5" spans="1:13" x14ac:dyDescent="0.3">
      <c r="A5" t="s">
        <v>8</v>
      </c>
      <c r="B5" s="1">
        <v>0.68415092180172599</v>
      </c>
      <c r="C5" s="1">
        <v>0.63344719881812706</v>
      </c>
      <c r="D5" s="1">
        <v>0.417220420514543</v>
      </c>
      <c r="E5" s="1">
        <v>0.73202871779600698</v>
      </c>
      <c r="F5" s="1">
        <v>0.62978993356227797</v>
      </c>
      <c r="G5" s="1">
        <v>0.63855846226215296</v>
      </c>
      <c r="H5" s="1">
        <v>0.358027603477239</v>
      </c>
      <c r="I5" s="1">
        <f t="shared" si="0"/>
        <v>0.56817872273839121</v>
      </c>
      <c r="J5" s="1"/>
      <c r="K5" s="1">
        <f t="shared" si="1"/>
        <v>0.37400111431876798</v>
      </c>
      <c r="L5" s="1">
        <f>AVERAGE(C5,D5)</f>
        <v>0.52533380966633503</v>
      </c>
      <c r="M5" s="2">
        <f t="shared" si="2"/>
        <v>0.47668329886282151</v>
      </c>
    </row>
    <row r="6" spans="1:13" x14ac:dyDescent="0.3">
      <c r="A6" t="s">
        <v>9</v>
      </c>
      <c r="B6" s="1">
        <v>0</v>
      </c>
      <c r="C6" s="1">
        <v>1.42607476309422E-2</v>
      </c>
      <c r="D6" s="1">
        <v>1.49516664896509E-3</v>
      </c>
      <c r="E6" s="1">
        <v>8.1789884673829204E-3</v>
      </c>
      <c r="F6" s="1">
        <v>0.483783873108526</v>
      </c>
      <c r="G6" s="1">
        <v>0.229635610299737</v>
      </c>
      <c r="H6" s="1">
        <v>2.3936378337414899E-2</v>
      </c>
      <c r="I6" s="1">
        <f t="shared" si="0"/>
        <v>0.12688179408216135</v>
      </c>
      <c r="J6" s="1"/>
      <c r="K6" s="1">
        <f>MAX(C6-H6, D6-H6,E6-H6,F6-H6, G6 - H6)</f>
        <v>0.45984749477111109</v>
      </c>
      <c r="L6" s="1">
        <f>AVERAGE(C6, D6, E6)</f>
        <v>7.9783009157634033E-3</v>
      </c>
      <c r="M6" s="2" t="e">
        <f t="shared" si="2"/>
        <v>#DIV/0!</v>
      </c>
    </row>
    <row r="7" spans="1:13" x14ac:dyDescent="0.3">
      <c r="A7" t="s">
        <v>10</v>
      </c>
      <c r="B7" s="1">
        <v>0</v>
      </c>
      <c r="C7" s="1">
        <v>3.3899215612715701E-2</v>
      </c>
      <c r="D7" s="1">
        <v>4.4186410733042601E-2</v>
      </c>
      <c r="E7" s="1">
        <v>7.1471064610401897E-2</v>
      </c>
      <c r="F7" s="1">
        <v>3.44880434096618E-2</v>
      </c>
      <c r="G7" s="1">
        <v>0.49037269999583499</v>
      </c>
      <c r="H7" s="1">
        <v>0.36342936688257999</v>
      </c>
      <c r="I7" s="1">
        <f t="shared" si="0"/>
        <v>0.1729744668740395</v>
      </c>
      <c r="J7" s="1"/>
      <c r="K7" s="1">
        <f>MAX(C7-H7, D7-H7,E7-H7,F7-H7, G7 - H7)</f>
        <v>0.12694333311325501</v>
      </c>
      <c r="L7" s="1">
        <f>AVERAGE(C7, D7, E7,F7)</f>
        <v>4.60111835914555E-2</v>
      </c>
      <c r="M7" s="2" t="e">
        <f t="shared" si="2"/>
        <v>#DIV/0!</v>
      </c>
    </row>
    <row r="8" spans="1:13" x14ac:dyDescent="0.3">
      <c r="A8" t="s">
        <v>17</v>
      </c>
      <c r="B8" s="1">
        <v>0</v>
      </c>
      <c r="C8" s="1">
        <v>2.91730769968125E-2</v>
      </c>
      <c r="D8" s="1">
        <v>9.3416746713046398E-3</v>
      </c>
      <c r="E8" s="1">
        <v>1.56185669281209E-3</v>
      </c>
      <c r="F8" s="1">
        <v>3.50403710732886E-3</v>
      </c>
      <c r="G8" s="1">
        <v>0.100838141127799</v>
      </c>
      <c r="H8" s="1">
        <v>0.454775663713614</v>
      </c>
      <c r="I8" s="1">
        <f t="shared" si="0"/>
        <v>9.9865741718278514E-2</v>
      </c>
      <c r="J8" s="1"/>
      <c r="K8" s="1"/>
      <c r="L8" s="1">
        <f>AVERAGE(C8, D8, E8,F8, G8)</f>
        <v>2.8883757319211417E-2</v>
      </c>
      <c r="M8" s="2" t="e">
        <f t="shared" si="2"/>
        <v>#DIV/0!</v>
      </c>
    </row>
    <row r="9" spans="1:13" x14ac:dyDescent="0.3">
      <c r="A9" t="s">
        <v>1</v>
      </c>
      <c r="B9" s="1">
        <v>0.97939328849315599</v>
      </c>
      <c r="C9" s="1">
        <v>0.96893402934074402</v>
      </c>
      <c r="D9" s="1">
        <v>0.79057502746581998</v>
      </c>
      <c r="E9" s="1">
        <v>0.937250196933746</v>
      </c>
      <c r="F9" s="1">
        <v>0.67226068675518003</v>
      </c>
      <c r="G9" s="1">
        <v>0.43406907469034101</v>
      </c>
      <c r="H9" s="1">
        <v>2.1931328345090099E-2</v>
      </c>
      <c r="M9" s="2">
        <f>(B9-H9)/B9</f>
        <v>0.97760723031007024</v>
      </c>
    </row>
    <row r="10" spans="1:13" s="5" customFormat="1" x14ac:dyDescent="0.3">
      <c r="A10" s="4" t="s">
        <v>3</v>
      </c>
      <c r="B10" s="2"/>
      <c r="C10" s="2"/>
      <c r="D10" s="2"/>
      <c r="E10" s="2"/>
      <c r="F10" s="2"/>
      <c r="G10" s="2"/>
      <c r="H10" s="2"/>
      <c r="I10" s="2">
        <f>AVERAGE(I3:I8)</f>
        <v>0.23167634263304329</v>
      </c>
      <c r="J10" s="2">
        <f>AVERAGE(H3:H8)</f>
        <v>0.20427517102848455</v>
      </c>
      <c r="K10" s="2">
        <f>AVERAGE(K3:K7)</f>
        <v>0.38388537415087998</v>
      </c>
      <c r="L10" s="2">
        <f>AVERAGE(L3:L9)</f>
        <v>0.16983559685098068</v>
      </c>
    </row>
    <row r="12" spans="1:13" x14ac:dyDescent="0.3">
      <c r="A12" s="42" t="s">
        <v>23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28.8" x14ac:dyDescent="0.3">
      <c r="B13" s="3" t="s">
        <v>0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10</v>
      </c>
      <c r="H13" s="3" t="s">
        <v>17</v>
      </c>
      <c r="I13" s="4" t="s">
        <v>4</v>
      </c>
      <c r="J13" s="4" t="s">
        <v>11</v>
      </c>
      <c r="K13" s="4" t="s">
        <v>5</v>
      </c>
      <c r="L13" s="4" t="s">
        <v>2</v>
      </c>
      <c r="M13" s="4" t="s">
        <v>12</v>
      </c>
    </row>
    <row r="14" spans="1:13" x14ac:dyDescent="0.3">
      <c r="A14" t="s">
        <v>6</v>
      </c>
      <c r="B14" s="1">
        <v>0</v>
      </c>
      <c r="C14" s="1">
        <v>0.36103405151516199</v>
      </c>
      <c r="D14" s="1">
        <v>0.30860676709562501</v>
      </c>
      <c r="E14" s="1">
        <v>0.14210122552079399</v>
      </c>
      <c r="F14" s="1">
        <v>0.120833821227279</v>
      </c>
      <c r="G14" s="1">
        <v>0.24653147486969801</v>
      </c>
      <c r="H14" s="1">
        <v>1.4015976416582501E-2</v>
      </c>
      <c r="I14" s="1">
        <f t="shared" ref="I14:I19" si="3">AVERAGE(C14:H14)</f>
        <v>0.19885388610752341</v>
      </c>
      <c r="J14" s="1"/>
      <c r="K14" s="1">
        <f>MAX(C14-H14, D14-H14,E14-H14,F14-H14, G14 - H14)</f>
        <v>0.34701807509857951</v>
      </c>
      <c r="L14" s="1"/>
      <c r="M14" s="2" t="e">
        <f>(B14-H14)/B14</f>
        <v>#DIV/0!</v>
      </c>
    </row>
    <row r="15" spans="1:13" x14ac:dyDescent="0.3">
      <c r="A15" t="s">
        <v>7</v>
      </c>
      <c r="B15" s="1">
        <v>0</v>
      </c>
      <c r="C15" s="1">
        <v>0.22253435535822</v>
      </c>
      <c r="D15" s="1">
        <v>0.52171062057216899</v>
      </c>
      <c r="E15" s="1">
        <v>0.223134620425601</v>
      </c>
      <c r="F15" s="1">
        <v>8.5407645097196394E-2</v>
      </c>
      <c r="G15" s="1">
        <v>0.34320070594549101</v>
      </c>
      <c r="H15" s="1">
        <v>1.18351275151932E-2</v>
      </c>
      <c r="I15" s="1">
        <f t="shared" si="3"/>
        <v>0.23463717915231172</v>
      </c>
      <c r="J15" s="1"/>
      <c r="K15" s="1">
        <f t="shared" ref="K15:K16" si="4">MAX(C15-H15, D15-H15,E15-H15,F15-H15, G15 - H15)</f>
        <v>0.50987549305697577</v>
      </c>
      <c r="L15" s="1">
        <f>C15</f>
        <v>0.22253435535822</v>
      </c>
      <c r="M15" s="2" t="e">
        <f t="shared" ref="M15:M19" si="5">(B15-H15)/B15</f>
        <v>#DIV/0!</v>
      </c>
    </row>
    <row r="16" spans="1:13" x14ac:dyDescent="0.3">
      <c r="A16" t="s">
        <v>8</v>
      </c>
      <c r="B16" s="1">
        <v>0.68415092180172599</v>
      </c>
      <c r="C16" s="1">
        <v>0.64598490670323305</v>
      </c>
      <c r="D16" s="1">
        <v>0.46830260691543402</v>
      </c>
      <c r="E16" s="1">
        <v>0.72575555865963304</v>
      </c>
      <c r="F16" s="1">
        <v>0.63415111228823595</v>
      </c>
      <c r="G16" s="1">
        <v>0.66419351597626997</v>
      </c>
      <c r="H16" s="1">
        <v>0.47797845676541301</v>
      </c>
      <c r="I16" s="1">
        <f t="shared" si="3"/>
        <v>0.60272769288470307</v>
      </c>
      <c r="J16" s="1"/>
      <c r="K16" s="1">
        <f t="shared" si="4"/>
        <v>0.24777710189422003</v>
      </c>
      <c r="L16" s="1">
        <f>AVERAGE(C16,D16)</f>
        <v>0.55714375680933359</v>
      </c>
      <c r="M16" s="2">
        <f t="shared" si="5"/>
        <v>0.30135523970844535</v>
      </c>
    </row>
    <row r="17" spans="1:13" x14ac:dyDescent="0.3">
      <c r="A17" t="s">
        <v>9</v>
      </c>
      <c r="B17" s="1">
        <v>0</v>
      </c>
      <c r="C17" s="1">
        <v>2.2878103074011301E-2</v>
      </c>
      <c r="D17" s="1">
        <v>2.0173874484801899E-3</v>
      </c>
      <c r="E17" s="1">
        <v>7.9837365871450496E-3</v>
      </c>
      <c r="F17" s="1">
        <v>0.47760615528871597</v>
      </c>
      <c r="G17" s="1">
        <v>0.242673295938099</v>
      </c>
      <c r="H17" s="1">
        <v>1.3666063322792301E-2</v>
      </c>
      <c r="I17" s="1">
        <f t="shared" si="3"/>
        <v>0.12780412360987395</v>
      </c>
      <c r="J17" s="1"/>
      <c r="K17" s="1">
        <f>MAX(C17-H17, D17-H17,E17-H17,F17-H17, G17 - H17)</f>
        <v>0.46394009196592367</v>
      </c>
      <c r="L17" s="1">
        <f>AVERAGE(C17, D17, E17)</f>
        <v>1.0959742369878846E-2</v>
      </c>
      <c r="M17" s="2" t="e">
        <f t="shared" si="5"/>
        <v>#DIV/0!</v>
      </c>
    </row>
    <row r="18" spans="1:13" x14ac:dyDescent="0.3">
      <c r="A18" t="s">
        <v>10</v>
      </c>
      <c r="B18" s="1">
        <v>0</v>
      </c>
      <c r="C18" s="1">
        <v>4.2115115250150298E-2</v>
      </c>
      <c r="D18" s="1">
        <v>5.57625832188932E-2</v>
      </c>
      <c r="E18" s="1">
        <v>5.28653775691054E-2</v>
      </c>
      <c r="F18" s="1">
        <v>4.5090070872295898E-2</v>
      </c>
      <c r="G18" s="1">
        <v>0.48946853292484999</v>
      </c>
      <c r="H18" s="1">
        <v>0.37291568055904101</v>
      </c>
      <c r="I18" s="1">
        <f t="shared" si="3"/>
        <v>0.1763695600657226</v>
      </c>
      <c r="J18" s="1"/>
      <c r="K18" s="1">
        <f>MAX(C18-H18, D18-H18,E18-H18,F18-H18, G18 - H18)</f>
        <v>0.11655285236580898</v>
      </c>
      <c r="L18" s="1">
        <f>AVERAGE(C18, D18, E18,F18)</f>
        <v>4.8958286727611197E-2</v>
      </c>
      <c r="M18" s="2" t="e">
        <f t="shared" si="5"/>
        <v>#DIV/0!</v>
      </c>
    </row>
    <row r="19" spans="1:13" x14ac:dyDescent="0.3">
      <c r="A19" t="s">
        <v>17</v>
      </c>
      <c r="B19" s="1">
        <v>0</v>
      </c>
      <c r="C19" s="1">
        <v>2.58362003563282E-2</v>
      </c>
      <c r="D19" s="1">
        <v>1.38863045791974E-2</v>
      </c>
      <c r="E19" s="1">
        <v>3.8453672120037099E-3</v>
      </c>
      <c r="F19" s="1">
        <v>4.7510300493437702E-3</v>
      </c>
      <c r="G19" s="1">
        <v>8.8605651457328294E-2</v>
      </c>
      <c r="H19" s="1">
        <v>0.44281613702575301</v>
      </c>
      <c r="I19" s="1">
        <f t="shared" si="3"/>
        <v>9.6623448446659058E-2</v>
      </c>
      <c r="J19" s="1"/>
      <c r="K19" s="1"/>
      <c r="L19" s="1">
        <f>AVERAGE(C19, D19, E19,F19, G19)</f>
        <v>2.7384910730840272E-2</v>
      </c>
      <c r="M19" s="2" t="e">
        <f t="shared" si="5"/>
        <v>#DIV/0!</v>
      </c>
    </row>
    <row r="20" spans="1:13" x14ac:dyDescent="0.3">
      <c r="A20" t="s">
        <v>1</v>
      </c>
      <c r="B20" s="1">
        <v>0.97939328849315599</v>
      </c>
      <c r="C20" s="1">
        <v>0.97894500195980005</v>
      </c>
      <c r="D20" s="1">
        <v>0.94502578675746896</v>
      </c>
      <c r="E20" s="1">
        <v>0.96846006810665097</v>
      </c>
      <c r="F20" s="1">
        <v>0.91825418174266804</v>
      </c>
      <c r="G20" s="1">
        <v>0.77236297726631098</v>
      </c>
      <c r="H20" s="1">
        <v>0.14751774817705099</v>
      </c>
      <c r="M20" s="2">
        <f>(B20-H20)/B20</f>
        <v>0.84937843672176461</v>
      </c>
    </row>
    <row r="21" spans="1:13" x14ac:dyDescent="0.3">
      <c r="A21" s="4" t="s">
        <v>3</v>
      </c>
      <c r="B21" s="2"/>
      <c r="C21" s="2"/>
      <c r="D21" s="2"/>
      <c r="E21" s="2"/>
      <c r="F21" s="2"/>
      <c r="G21" s="2"/>
      <c r="H21" s="2"/>
      <c r="I21" s="2">
        <f>AVERAGE(I14:I19)</f>
        <v>0.23950264837779897</v>
      </c>
      <c r="J21" s="2">
        <f>AVERAGE(H14:H19)</f>
        <v>0.22220457360079585</v>
      </c>
      <c r="K21" s="2">
        <f>AVERAGE(K14:K18)</f>
        <v>0.33703272287630159</v>
      </c>
      <c r="L21" s="2">
        <f>AVERAGE(L14:L20)</f>
        <v>0.17339621039917677</v>
      </c>
      <c r="M21" s="5"/>
    </row>
    <row r="22" spans="1:13" x14ac:dyDescent="0.3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</row>
    <row r="23" spans="1:13" x14ac:dyDescent="0.3">
      <c r="A23" s="42" t="s">
        <v>29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s="3" customFormat="1" ht="28.8" x14ac:dyDescent="0.3">
      <c r="B24" s="3" t="s">
        <v>0</v>
      </c>
      <c r="C24" s="3" t="s">
        <v>17</v>
      </c>
      <c r="D24" s="3" t="s">
        <v>10</v>
      </c>
      <c r="E24" s="3" t="s">
        <v>9</v>
      </c>
      <c r="F24" s="3" t="s">
        <v>8</v>
      </c>
      <c r="G24" s="3" t="s">
        <v>7</v>
      </c>
      <c r="H24" s="3" t="s">
        <v>6</v>
      </c>
      <c r="I24" s="4" t="s">
        <v>4</v>
      </c>
      <c r="J24" s="4" t="s">
        <v>11</v>
      </c>
      <c r="K24" s="4" t="s">
        <v>5</v>
      </c>
      <c r="L24" s="4" t="s">
        <v>2</v>
      </c>
      <c r="M24" s="4" t="s">
        <v>12</v>
      </c>
    </row>
    <row r="25" spans="1:13" x14ac:dyDescent="0.3">
      <c r="A25" t="s">
        <v>17</v>
      </c>
      <c r="B25" s="1">
        <v>0</v>
      </c>
      <c r="C25" s="1">
        <v>8.4981090961567404E-2</v>
      </c>
      <c r="D25" s="1">
        <v>0.10625962571551401</v>
      </c>
      <c r="E25" s="1">
        <v>5.5455054517551602E-2</v>
      </c>
      <c r="F25" s="1">
        <v>8.1487347512544703E-2</v>
      </c>
      <c r="G25" s="1">
        <v>7.7043103977757696E-2</v>
      </c>
      <c r="H25" s="1">
        <v>0.116419269082446</v>
      </c>
      <c r="I25" s="1">
        <f t="shared" ref="I25:I30" si="6">AVERAGE(C25:H25)</f>
        <v>8.6940915294563589E-2</v>
      </c>
      <c r="J25" s="1"/>
      <c r="K25" s="1">
        <f>MAX(C25-H25, D25-H25,E25-H25,F25-H25, G25 - H25)</f>
        <v>-1.0159643366931995E-2</v>
      </c>
      <c r="L25" s="1"/>
      <c r="M25" s="2" t="e">
        <f>(B25-H25)/B25</f>
        <v>#DIV/0!</v>
      </c>
    </row>
    <row r="26" spans="1:13" x14ac:dyDescent="0.3">
      <c r="A26" t="s">
        <v>10</v>
      </c>
      <c r="B26" s="1">
        <v>0</v>
      </c>
      <c r="C26" s="1">
        <v>0.125713404869505</v>
      </c>
      <c r="D26" s="1">
        <v>0.53667119517922401</v>
      </c>
      <c r="E26" s="1">
        <v>0.21837868463868801</v>
      </c>
      <c r="F26" s="1">
        <v>0.32021714001893897</v>
      </c>
      <c r="G26" s="1">
        <v>0.30528655803451898</v>
      </c>
      <c r="H26" s="1">
        <v>0.19540876755490899</v>
      </c>
      <c r="I26" s="1">
        <f t="shared" si="6"/>
        <v>0.28361262504929735</v>
      </c>
      <c r="J26" s="1"/>
      <c r="K26" s="1">
        <f t="shared" ref="K26:K27" si="7">MAX(C26-H26, D26-H26,E26-H26,F26-H26, G26 - H26)</f>
        <v>0.34126242762431502</v>
      </c>
      <c r="L26" s="1">
        <f>C26</f>
        <v>0.125713404869505</v>
      </c>
      <c r="M26" s="2" t="e">
        <f t="shared" ref="M26:M30" si="8">(B26-H26)/B26</f>
        <v>#DIV/0!</v>
      </c>
    </row>
    <row r="27" spans="1:13" x14ac:dyDescent="0.3">
      <c r="A27" t="s">
        <v>9</v>
      </c>
      <c r="B27" s="1">
        <v>0</v>
      </c>
      <c r="C27" s="1">
        <v>2.1110199023193301E-2</v>
      </c>
      <c r="D27" s="1">
        <v>1.86917077250351E-3</v>
      </c>
      <c r="E27" s="1">
        <v>0.52199621032923404</v>
      </c>
      <c r="F27" s="1">
        <v>0.387273916353782</v>
      </c>
      <c r="G27" s="1">
        <v>0.114710560078189</v>
      </c>
      <c r="H27" s="1">
        <v>0.106048728625561</v>
      </c>
      <c r="I27" s="1">
        <f t="shared" si="6"/>
        <v>0.19216813086374382</v>
      </c>
      <c r="J27" s="1"/>
      <c r="K27" s="1">
        <f t="shared" si="7"/>
        <v>0.41594748170367302</v>
      </c>
      <c r="L27" s="1">
        <f>AVERAGE(C27,D27)</f>
        <v>1.1489684897848405E-2</v>
      </c>
      <c r="M27" s="2" t="e">
        <f t="shared" si="8"/>
        <v>#DIV/0!</v>
      </c>
    </row>
    <row r="28" spans="1:13" x14ac:dyDescent="0.3">
      <c r="A28" t="s">
        <v>8</v>
      </c>
      <c r="B28" s="1">
        <v>0.68415092180172599</v>
      </c>
      <c r="C28" s="1">
        <v>0.67751946424444498</v>
      </c>
      <c r="D28" s="1">
        <v>0.61232780168453804</v>
      </c>
      <c r="E28" s="1">
        <v>0.58837819720307905</v>
      </c>
      <c r="F28" s="1">
        <v>0.73341530313094405</v>
      </c>
      <c r="G28" s="1">
        <v>0.60461772357424104</v>
      </c>
      <c r="H28" s="1">
        <v>0.34882893289128902</v>
      </c>
      <c r="I28" s="1">
        <f t="shared" si="6"/>
        <v>0.59418123712142279</v>
      </c>
      <c r="J28" s="1"/>
      <c r="K28" s="1">
        <f>MAX(C28-H28, D28-H28,E28-H28,F28-H28, G28 - H28)</f>
        <v>0.38458637023965503</v>
      </c>
      <c r="L28" s="1">
        <f>AVERAGE(C28, D28, E28)</f>
        <v>0.62607515437735406</v>
      </c>
      <c r="M28" s="2">
        <f t="shared" si="8"/>
        <v>0.4901286810041261</v>
      </c>
    </row>
    <row r="29" spans="1:13" x14ac:dyDescent="0.3">
      <c r="A29" t="s">
        <v>7</v>
      </c>
      <c r="B29" s="1">
        <v>0</v>
      </c>
      <c r="C29" s="1">
        <v>6.99321121893869E-2</v>
      </c>
      <c r="D29" s="1">
        <v>0.129389461782314</v>
      </c>
      <c r="E29" s="1">
        <v>5.1363398245787999E-2</v>
      </c>
      <c r="F29" s="1">
        <v>4.8077833751449299E-2</v>
      </c>
      <c r="G29" s="1">
        <v>0.53201568747560102</v>
      </c>
      <c r="H29" s="1">
        <v>0.43341955045858999</v>
      </c>
      <c r="I29" s="1">
        <f t="shared" si="6"/>
        <v>0.21069967398385489</v>
      </c>
      <c r="J29" s="1"/>
      <c r="K29" s="1">
        <f>MAX(C29-H29, D29-H29,E29-H29,F29-H29, G29 - H29)</f>
        <v>9.8596137017011032E-2</v>
      </c>
      <c r="L29" s="1">
        <f>AVERAGE(C29, D29, E29,F29)</f>
        <v>7.4690701492234557E-2</v>
      </c>
      <c r="M29" s="2" t="e">
        <f t="shared" si="8"/>
        <v>#DIV/0!</v>
      </c>
    </row>
    <row r="30" spans="1:13" x14ac:dyDescent="0.3">
      <c r="A30" t="s">
        <v>6</v>
      </c>
      <c r="B30" s="1">
        <v>0</v>
      </c>
      <c r="C30" s="1">
        <v>4.0387440369765097E-2</v>
      </c>
      <c r="D30" s="1">
        <v>8.5899076687686194E-3</v>
      </c>
      <c r="E30" s="1">
        <v>7.1891967892346004E-2</v>
      </c>
      <c r="F30" s="1">
        <v>2.83675200638147E-2</v>
      </c>
      <c r="G30" s="1">
        <v>0.107812564092455</v>
      </c>
      <c r="H30" s="1">
        <v>0.54070744539300597</v>
      </c>
      <c r="I30" s="1">
        <f t="shared" si="6"/>
        <v>0.13295947424669255</v>
      </c>
      <c r="J30" s="1"/>
      <c r="K30" s="1"/>
      <c r="L30" s="1">
        <f>AVERAGE(C30, D30, E30,F30, G30)</f>
        <v>5.1409880017429889E-2</v>
      </c>
      <c r="M30" s="2" t="e">
        <f t="shared" si="8"/>
        <v>#DIV/0!</v>
      </c>
    </row>
    <row r="31" spans="1:13" x14ac:dyDescent="0.3">
      <c r="A31" t="s">
        <v>1</v>
      </c>
      <c r="B31" s="1">
        <v>0.97939328849315599</v>
      </c>
      <c r="C31" s="1">
        <v>0.971640065312385</v>
      </c>
      <c r="D31" s="1">
        <v>0.95277270674705505</v>
      </c>
      <c r="E31" s="1">
        <v>0.927467420697212</v>
      </c>
      <c r="F31" s="1">
        <v>0.96659983694553298</v>
      </c>
      <c r="G31" s="1">
        <v>0.83612546324729897</v>
      </c>
      <c r="H31" s="1">
        <v>0.36210631579160601</v>
      </c>
      <c r="M31" s="2">
        <f>(B31-H31)/B31</f>
        <v>0.63027486501492769</v>
      </c>
    </row>
    <row r="32" spans="1:13" x14ac:dyDescent="0.3">
      <c r="A32" s="4" t="s">
        <v>3</v>
      </c>
      <c r="B32" s="2"/>
      <c r="C32" s="2"/>
      <c r="D32" s="2"/>
      <c r="E32" s="2"/>
      <c r="F32" s="2"/>
      <c r="G32" s="2"/>
      <c r="H32" s="2"/>
      <c r="I32" s="2">
        <f>AVERAGE(I25:I30)</f>
        <v>0.25009367609326255</v>
      </c>
      <c r="J32" s="2">
        <f>AVERAGE(H25:H30)</f>
        <v>0.29013878233430018</v>
      </c>
      <c r="K32" s="2">
        <f>AVERAGE(K25:K29)</f>
        <v>0.24604655464354441</v>
      </c>
      <c r="L32" s="2">
        <f>AVERAGE(L25:L31)</f>
        <v>0.17787576513087439</v>
      </c>
      <c r="M32" s="5"/>
    </row>
    <row r="33" spans="1:13" x14ac:dyDescent="0.3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5"/>
    </row>
    <row r="34" spans="1:13" x14ac:dyDescent="0.3">
      <c r="A34" s="42" t="s">
        <v>24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ht="28.8" x14ac:dyDescent="0.3">
      <c r="B35" s="3" t="s">
        <v>0</v>
      </c>
      <c r="C35" s="3" t="s">
        <v>6</v>
      </c>
      <c r="D35" s="3" t="s">
        <v>7</v>
      </c>
      <c r="E35" s="3" t="s">
        <v>8</v>
      </c>
      <c r="F35" s="3" t="s">
        <v>9</v>
      </c>
      <c r="G35" s="3" t="s">
        <v>10</v>
      </c>
      <c r="H35" s="3" t="s">
        <v>17</v>
      </c>
      <c r="I35" s="4" t="s">
        <v>4</v>
      </c>
      <c r="J35" s="4" t="s">
        <v>11</v>
      </c>
      <c r="K35" s="4" t="s">
        <v>5</v>
      </c>
      <c r="L35" s="4" t="s">
        <v>2</v>
      </c>
      <c r="M35" s="4" t="s">
        <v>12</v>
      </c>
    </row>
    <row r="36" spans="1:13" x14ac:dyDescent="0.3">
      <c r="A36" t="s">
        <v>6</v>
      </c>
      <c r="B36" s="1">
        <v>0</v>
      </c>
      <c r="C36" s="1">
        <v>0.33188700287913198</v>
      </c>
      <c r="D36" s="1">
        <v>0.39285669910410997</v>
      </c>
      <c r="E36" s="1">
        <v>0.43756792445977499</v>
      </c>
      <c r="F36" s="1">
        <v>0.33107588129738902</v>
      </c>
      <c r="G36" s="1">
        <v>0.347472080339988</v>
      </c>
      <c r="H36" s="1">
        <v>0.38655437963704198</v>
      </c>
      <c r="I36" s="1">
        <f t="shared" ref="I36:I41" si="9">AVERAGE(C36:H36)</f>
        <v>0.3712356612862393</v>
      </c>
      <c r="J36" s="1"/>
      <c r="K36" s="1">
        <f>MAX(C36-H36, D36-H36,E36-H36,F36-H36, G36 - H36)</f>
        <v>5.1013544822733015E-2</v>
      </c>
      <c r="L36" s="1"/>
    </row>
    <row r="37" spans="1:13" x14ac:dyDescent="0.3">
      <c r="A37" t="s">
        <v>7</v>
      </c>
      <c r="B37" s="1">
        <v>0</v>
      </c>
      <c r="C37" s="1">
        <v>0.21261976410945199</v>
      </c>
      <c r="D37" s="1">
        <v>0.51127474009990603</v>
      </c>
      <c r="E37" s="1">
        <v>0.46536392842729801</v>
      </c>
      <c r="F37" s="1">
        <v>0.27013656434913402</v>
      </c>
      <c r="G37" s="1">
        <v>0.42205620432893398</v>
      </c>
      <c r="H37" s="1">
        <v>0.383075851947069</v>
      </c>
      <c r="I37" s="1">
        <f t="shared" si="9"/>
        <v>0.37742117554363214</v>
      </c>
      <c r="J37" s="1"/>
      <c r="K37" s="1">
        <f t="shared" ref="K37:K38" si="10">MAX(C37-H37, D37-H37,E37-H37,F37-H37, G37 - H37)</f>
        <v>0.12819888815283703</v>
      </c>
      <c r="L37" s="1">
        <f>C37</f>
        <v>0.21261976410945199</v>
      </c>
    </row>
    <row r="38" spans="1:13" x14ac:dyDescent="0.3">
      <c r="A38" t="s">
        <v>8</v>
      </c>
      <c r="B38" s="1">
        <v>0.68414774164557401</v>
      </c>
      <c r="C38" s="1">
        <v>0.64786327133576005</v>
      </c>
      <c r="D38" s="1">
        <v>0.47738109342753798</v>
      </c>
      <c r="E38" s="1">
        <v>0.73811086267232895</v>
      </c>
      <c r="F38" s="1">
        <v>0.64494350428382496</v>
      </c>
      <c r="G38" s="1">
        <v>0.69896455605824703</v>
      </c>
      <c r="H38" s="1">
        <v>0.73298584173123005</v>
      </c>
      <c r="I38" s="1">
        <f t="shared" si="9"/>
        <v>0.65670818825148825</v>
      </c>
      <c r="J38" s="1"/>
      <c r="K38" s="1">
        <f t="shared" si="10"/>
        <v>5.1250209410989012E-3</v>
      </c>
      <c r="L38" s="1">
        <f>AVERAGE(C38,D38)</f>
        <v>0.56262218238164907</v>
      </c>
    </row>
    <row r="39" spans="1:13" x14ac:dyDescent="0.3">
      <c r="A39" t="s">
        <v>9</v>
      </c>
      <c r="B39" s="1">
        <v>0</v>
      </c>
      <c r="C39" s="1">
        <v>3.1930350770683902E-2</v>
      </c>
      <c r="D39" s="1">
        <v>1.04015017859637E-3</v>
      </c>
      <c r="E39" s="1">
        <v>6.0801271320087803E-4</v>
      </c>
      <c r="F39" s="1">
        <v>0.46171307129164502</v>
      </c>
      <c r="G39" s="1">
        <v>0.415627129841595</v>
      </c>
      <c r="H39" s="1">
        <v>0.41852333365629102</v>
      </c>
      <c r="I39" s="1">
        <f t="shared" si="9"/>
        <v>0.22157367474200204</v>
      </c>
      <c r="J39" s="1"/>
      <c r="K39" s="1">
        <f>MAX(C39-H39, D39-H39,E39-H39,F39-H39, G39 - H39)</f>
        <v>4.3189737635353997E-2</v>
      </c>
      <c r="L39" s="1">
        <f>AVERAGE(C39, D39, E39)</f>
        <v>1.1192837887493716E-2</v>
      </c>
    </row>
    <row r="40" spans="1:13" x14ac:dyDescent="0.3">
      <c r="A40" t="s">
        <v>10</v>
      </c>
      <c r="B40" s="1">
        <v>0</v>
      </c>
      <c r="C40" s="1">
        <v>4.9093542116073197E-2</v>
      </c>
      <c r="D40" s="1">
        <v>4.0656706724500197E-2</v>
      </c>
      <c r="E40" s="1">
        <v>4.7145239350356798E-2</v>
      </c>
      <c r="F40" s="1">
        <v>7.8661760220711502E-2</v>
      </c>
      <c r="G40" s="1">
        <v>0.52525714163978898</v>
      </c>
      <c r="H40" s="1">
        <v>0.43227972486056299</v>
      </c>
      <c r="I40" s="1">
        <f t="shared" si="9"/>
        <v>0.1955156858186656</v>
      </c>
      <c r="J40" s="1"/>
      <c r="K40" s="1">
        <f>MAX(C40-H40, D40-H40,E40-H40,F40-H40, G40 - H40)</f>
        <v>9.2977416779225996E-2</v>
      </c>
      <c r="L40" s="1">
        <f>AVERAGE(C40, D40, E40,F40)</f>
        <v>5.3889312102910425E-2</v>
      </c>
    </row>
    <row r="41" spans="1:13" x14ac:dyDescent="0.3">
      <c r="A41" t="s">
        <v>17</v>
      </c>
      <c r="B41" s="1">
        <v>0</v>
      </c>
      <c r="C41" s="1">
        <v>2.4827143831619901E-2</v>
      </c>
      <c r="D41" s="1">
        <v>1.9588260218976399E-2</v>
      </c>
      <c r="E41" s="1">
        <v>2.5422201917232601E-2</v>
      </c>
      <c r="F41" s="1">
        <v>2.0320219682919999E-2</v>
      </c>
      <c r="G41" s="1">
        <v>7.85589384807584E-2</v>
      </c>
      <c r="H41" s="1">
        <v>0.481133803725242</v>
      </c>
      <c r="I41" s="1">
        <f t="shared" si="9"/>
        <v>0.10830842797612489</v>
      </c>
      <c r="J41" s="1"/>
      <c r="K41" s="1"/>
      <c r="L41" s="1">
        <f>AVERAGE(C41, D41, E41,F41, G41)</f>
        <v>3.3743352826301462E-2</v>
      </c>
    </row>
    <row r="42" spans="1:13" x14ac:dyDescent="0.3">
      <c r="A42" t="s">
        <v>1</v>
      </c>
      <c r="B42" s="1">
        <v>0.97939257323741902</v>
      </c>
      <c r="C42" s="1">
        <v>0.97881163656711501</v>
      </c>
      <c r="D42" s="1">
        <v>0.97006870806217105</v>
      </c>
      <c r="E42" s="1">
        <v>0.97523951530456499</v>
      </c>
      <c r="F42" s="1">
        <v>0.97312557697296098</v>
      </c>
      <c r="G42" s="1">
        <v>0.96617905795574099</v>
      </c>
      <c r="H42" s="1">
        <v>0.97535830736160201</v>
      </c>
      <c r="M42" s="2">
        <f>(B42-H42)/B42</f>
        <v>4.1191509779184799E-3</v>
      </c>
    </row>
    <row r="43" spans="1:13" x14ac:dyDescent="0.3">
      <c r="A43" s="4" t="s">
        <v>3</v>
      </c>
      <c r="B43" s="2"/>
      <c r="C43" s="2"/>
      <c r="D43" s="2"/>
      <c r="E43" s="2"/>
      <c r="F43" s="2"/>
      <c r="G43" s="2"/>
      <c r="H43" s="2"/>
      <c r="I43" s="2">
        <f>AVERAGE(I36:I41)</f>
        <v>0.32179380226969201</v>
      </c>
      <c r="J43" s="2">
        <f>AVERAGE(H36:H41)</f>
        <v>0.47242548925957289</v>
      </c>
      <c r="K43" s="2">
        <f>AVERAGE(K36:K40)</f>
        <v>6.4100921666249783E-2</v>
      </c>
      <c r="L43" s="2">
        <f>AVERAGE(L36:L42)</f>
        <v>0.17481348986156137</v>
      </c>
      <c r="M43" s="5"/>
    </row>
    <row r="45" spans="1:13" x14ac:dyDescent="0.3">
      <c r="A45" s="42" t="s">
        <v>48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ht="28.8" x14ac:dyDescent="0.3">
      <c r="B46" s="3" t="s">
        <v>0</v>
      </c>
      <c r="C46" s="3" t="s">
        <v>6</v>
      </c>
      <c r="D46" s="3" t="s">
        <v>7</v>
      </c>
      <c r="E46" s="3" t="s">
        <v>8</v>
      </c>
      <c r="F46" s="3" t="s">
        <v>9</v>
      </c>
      <c r="G46" s="3" t="s">
        <v>10</v>
      </c>
      <c r="H46" s="3" t="s">
        <v>17</v>
      </c>
      <c r="I46" s="4" t="s">
        <v>4</v>
      </c>
      <c r="J46" s="4" t="s">
        <v>11</v>
      </c>
      <c r="K46" s="4" t="s">
        <v>5</v>
      </c>
      <c r="L46" s="4" t="s">
        <v>2</v>
      </c>
      <c r="M46" s="4" t="s">
        <v>12</v>
      </c>
    </row>
    <row r="47" spans="1:13" x14ac:dyDescent="0.3">
      <c r="A47" t="s">
        <v>6</v>
      </c>
      <c r="B47" s="1">
        <v>0</v>
      </c>
      <c r="C47" s="1">
        <v>0.69295679032802504</v>
      </c>
      <c r="D47" s="1">
        <v>0.37984589797754997</v>
      </c>
      <c r="E47" s="1">
        <v>2.19053864247295E-2</v>
      </c>
      <c r="F47" s="1">
        <v>5.1088654382359197E-2</v>
      </c>
      <c r="G47" s="1">
        <v>2.2253540032882699E-2</v>
      </c>
      <c r="H47" s="1">
        <v>5.1432182807123602E-3</v>
      </c>
      <c r="I47" s="1">
        <f t="shared" ref="I47:I52" si="11">AVERAGE(C47:H47)</f>
        <v>0.19553224790437643</v>
      </c>
      <c r="J47" s="1"/>
      <c r="K47" s="1">
        <f>MAX(C47-H47, D47-H47,E47-H47,F47-H47, G47 - H47)</f>
        <v>0.68781357204731264</v>
      </c>
      <c r="L47" s="1"/>
      <c r="M47" s="2" t="e">
        <f>(B47-H47)/B47</f>
        <v>#DIV/0!</v>
      </c>
    </row>
    <row r="48" spans="1:13" x14ac:dyDescent="0.3">
      <c r="A48" t="s">
        <v>7</v>
      </c>
      <c r="B48" s="1">
        <v>0</v>
      </c>
      <c r="C48" s="1">
        <v>0.10365861779913101</v>
      </c>
      <c r="D48" s="1">
        <v>0.51980247845252303</v>
      </c>
      <c r="E48" s="1">
        <v>6.5432398851650406E-2</v>
      </c>
      <c r="F48" s="1">
        <v>4.3166163395653703E-3</v>
      </c>
      <c r="G48" s="1">
        <v>5.2661563299807299E-2</v>
      </c>
      <c r="H48" s="1">
        <v>9.30123386600219E-4</v>
      </c>
      <c r="I48" s="1">
        <f t="shared" si="11"/>
        <v>0.12446696635487957</v>
      </c>
      <c r="J48" s="1"/>
      <c r="K48" s="1">
        <f t="shared" ref="K48:K49" si="12">MAX(C48-H48, D48-H48,E48-H48,F48-H48, G48 - H48)</f>
        <v>0.51887235506592277</v>
      </c>
      <c r="L48" s="1">
        <f>C48</f>
        <v>0.10365861779913101</v>
      </c>
      <c r="M48" s="2" t="e">
        <f t="shared" ref="M48:M52" si="13">(B48-H48)/B48</f>
        <v>#DIV/0!</v>
      </c>
    </row>
    <row r="49" spans="1:13" x14ac:dyDescent="0.3">
      <c r="A49" t="s">
        <v>8</v>
      </c>
      <c r="B49" s="1">
        <v>0.68415092180172599</v>
      </c>
      <c r="C49" s="1">
        <v>5.2779035991989E-2</v>
      </c>
      <c r="D49" s="1">
        <v>9.6440337132662493E-2</v>
      </c>
      <c r="E49" s="1">
        <v>0.78342989583810096</v>
      </c>
      <c r="F49" s="1">
        <v>0.54656482984622301</v>
      </c>
      <c r="G49" s="1">
        <v>6.93219524691812E-2</v>
      </c>
      <c r="H49" s="1">
        <v>3.5920393529522698E-3</v>
      </c>
      <c r="I49" s="1">
        <f t="shared" si="11"/>
        <v>0.25868801510518485</v>
      </c>
      <c r="J49" s="1"/>
      <c r="K49" s="1">
        <f t="shared" si="12"/>
        <v>0.77983785648514869</v>
      </c>
      <c r="L49" s="1">
        <f>AVERAGE(C49,D49)</f>
        <v>7.460968656232575E-2</v>
      </c>
      <c r="M49" s="2">
        <f t="shared" si="13"/>
        <v>0.9947496389488264</v>
      </c>
    </row>
    <row r="50" spans="1:13" x14ac:dyDescent="0.3">
      <c r="A50" t="s">
        <v>9</v>
      </c>
      <c r="B50" s="1">
        <v>0</v>
      </c>
      <c r="C50" s="1">
        <v>3.25076029791186E-4</v>
      </c>
      <c r="D50" s="1">
        <v>8.9085900981444798E-5</v>
      </c>
      <c r="E50" s="1">
        <v>3.1404924052594603E-2</v>
      </c>
      <c r="F50" s="1">
        <v>0.50951292210568899</v>
      </c>
      <c r="G50" s="1">
        <v>5.2862541093266604E-3</v>
      </c>
      <c r="H50" s="1">
        <v>1.2664134070898E-4</v>
      </c>
      <c r="I50" s="1">
        <f t="shared" si="11"/>
        <v>9.1124150589848643E-2</v>
      </c>
      <c r="J50" s="1"/>
      <c r="K50" s="1">
        <f>MAX(C50-H50, D50-H50,E50-H50,F50-H50, G50 - H50)</f>
        <v>0.50938628076498005</v>
      </c>
      <c r="L50" s="1">
        <f>AVERAGE(C50, D50, E50)</f>
        <v>1.0606361994455743E-2</v>
      </c>
      <c r="M50" s="2" t="e">
        <f t="shared" si="13"/>
        <v>#DIV/0!</v>
      </c>
    </row>
    <row r="51" spans="1:13" x14ac:dyDescent="0.3">
      <c r="A51" t="s">
        <v>10</v>
      </c>
      <c r="B51" s="1">
        <v>0</v>
      </c>
      <c r="C51" s="1">
        <v>2.32691892567042E-3</v>
      </c>
      <c r="D51" s="1">
        <v>1.13266654564843E-2</v>
      </c>
      <c r="E51" s="1">
        <v>3.8688755283146699E-2</v>
      </c>
      <c r="F51" s="1">
        <v>1.2066347301773301E-2</v>
      </c>
      <c r="G51" s="1">
        <v>0.58103197316328603</v>
      </c>
      <c r="H51" s="1">
        <v>0.34798381702664</v>
      </c>
      <c r="I51" s="1">
        <f t="shared" si="11"/>
        <v>0.16557074619283343</v>
      </c>
      <c r="J51" s="1"/>
      <c r="K51" s="1">
        <f>MAX(C51-H51, D51-H51,E51-H51,F51-H51, G51 - H51)</f>
        <v>0.23304815613664603</v>
      </c>
      <c r="L51" s="1">
        <f>AVERAGE(C51, D51, E51,F51)</f>
        <v>1.610217174176868E-2</v>
      </c>
      <c r="M51" s="2" t="e">
        <f t="shared" si="13"/>
        <v>#DIV/0!</v>
      </c>
    </row>
    <row r="52" spans="1:13" x14ac:dyDescent="0.3">
      <c r="A52" t="s">
        <v>17</v>
      </c>
      <c r="B52" s="1">
        <v>0</v>
      </c>
      <c r="C52" s="1">
        <v>1.1306471324436001E-2</v>
      </c>
      <c r="D52" s="1">
        <v>1.33809946646579E-3</v>
      </c>
      <c r="E52" s="1">
        <v>2.12107499343498E-2</v>
      </c>
      <c r="F52" s="1">
        <v>1.2956230461895701E-3</v>
      </c>
      <c r="G52" s="1">
        <v>6.22267900519849E-2</v>
      </c>
      <c r="H52" s="1">
        <v>0.55403084307909001</v>
      </c>
      <c r="I52" s="1">
        <f t="shared" si="11"/>
        <v>0.10856809615041935</v>
      </c>
      <c r="J52" s="1"/>
      <c r="K52" s="1"/>
      <c r="L52" s="1">
        <f>AVERAGE(C52, D52, E52,F52, G52)</f>
        <v>1.9475546764685211E-2</v>
      </c>
      <c r="M52" s="2" t="e">
        <f t="shared" si="13"/>
        <v>#DIV/0!</v>
      </c>
    </row>
    <row r="53" spans="1:13" x14ac:dyDescent="0.3">
      <c r="A53" t="s">
        <v>1</v>
      </c>
      <c r="B53" s="1">
        <v>0.97939328849315599</v>
      </c>
      <c r="C53" s="1">
        <v>3.9306170947384002E-3</v>
      </c>
      <c r="D53" s="1">
        <v>1.23183737741783E-3</v>
      </c>
      <c r="E53" s="1">
        <v>0.33042010664939803</v>
      </c>
      <c r="F53" s="1">
        <v>1.3610545545816401E-2</v>
      </c>
      <c r="G53" s="1">
        <v>0.225805394351482</v>
      </c>
      <c r="H53" s="1">
        <v>1.20709522889228E-3</v>
      </c>
      <c r="M53" s="2">
        <f>(B53-H53)/B53</f>
        <v>0.99876750714644014</v>
      </c>
    </row>
    <row r="54" spans="1:13" x14ac:dyDescent="0.3">
      <c r="A54" s="4" t="s">
        <v>3</v>
      </c>
      <c r="B54" s="2"/>
      <c r="C54" s="2"/>
      <c r="D54" s="2"/>
      <c r="E54" s="2"/>
      <c r="F54" s="2"/>
      <c r="G54" s="2"/>
      <c r="H54" s="2"/>
      <c r="I54" s="2">
        <f>AVERAGE(I47:I52)</f>
        <v>0.15732503704959036</v>
      </c>
      <c r="J54" s="2">
        <f>AVERAGE(H47:H52)</f>
        <v>0.1519677804111173</v>
      </c>
      <c r="K54" s="2">
        <f>AVERAGE(K47:K51)</f>
        <v>0.54579164410000192</v>
      </c>
      <c r="L54" s="2">
        <f>AVERAGE(L47:L53)</f>
        <v>4.4890476972473274E-2</v>
      </c>
      <c r="M54" s="5"/>
    </row>
    <row r="56" spans="1:13" x14ac:dyDescent="0.3">
      <c r="A56" s="42" t="s">
        <v>49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ht="28.8" x14ac:dyDescent="0.3">
      <c r="B57" s="3" t="s">
        <v>0</v>
      </c>
      <c r="C57" s="3" t="s">
        <v>6</v>
      </c>
      <c r="D57" s="3" t="s">
        <v>7</v>
      </c>
      <c r="E57" s="3" t="s">
        <v>8</v>
      </c>
      <c r="F57" s="3" t="s">
        <v>9</v>
      </c>
      <c r="G57" s="3" t="s">
        <v>10</v>
      </c>
      <c r="H57" s="3" t="s">
        <v>17</v>
      </c>
      <c r="I57" s="4" t="s">
        <v>4</v>
      </c>
      <c r="J57" s="4" t="s">
        <v>11</v>
      </c>
      <c r="K57" s="4" t="s">
        <v>5</v>
      </c>
      <c r="L57" s="4" t="s">
        <v>2</v>
      </c>
      <c r="M57" s="4" t="s">
        <v>12</v>
      </c>
    </row>
    <row r="58" spans="1:13" x14ac:dyDescent="0.3">
      <c r="A58" t="s">
        <v>6</v>
      </c>
      <c r="B58" s="1">
        <v>0</v>
      </c>
      <c r="C58" s="1">
        <v>0.309802267389992</v>
      </c>
      <c r="D58" s="1">
        <v>0.29008212282011903</v>
      </c>
      <c r="E58" s="1">
        <v>0.137317151335688</v>
      </c>
      <c r="F58" s="1">
        <v>0.14314341907932701</v>
      </c>
      <c r="G58" s="1">
        <v>0.19196260565270901</v>
      </c>
      <c r="H58" s="1">
        <v>1.9987961779406701E-2</v>
      </c>
      <c r="I58" s="1">
        <f t="shared" ref="I58:I63" si="14">AVERAGE(C58:H58)</f>
        <v>0.18204925467620695</v>
      </c>
      <c r="J58" s="1"/>
      <c r="K58" s="1">
        <f>MAX(C58-H58, D58-H58,E58-H58,F58-H58, G58 - H58)</f>
        <v>0.2898143056105853</v>
      </c>
      <c r="L58" s="1"/>
      <c r="M58" s="2" t="e">
        <f>(B58-H58)/B58</f>
        <v>#DIV/0!</v>
      </c>
    </row>
    <row r="59" spans="1:13" x14ac:dyDescent="0.3">
      <c r="A59" t="s">
        <v>7</v>
      </c>
      <c r="B59" s="1">
        <v>0</v>
      </c>
      <c r="C59" s="1">
        <v>0.200527427873263</v>
      </c>
      <c r="D59" s="1">
        <v>0.51124758770068401</v>
      </c>
      <c r="E59" s="1">
        <v>0.26388312193254598</v>
      </c>
      <c r="F59" s="1">
        <v>0.144565787709628</v>
      </c>
      <c r="G59" s="1">
        <v>0.32085488426188602</v>
      </c>
      <c r="H59" s="1">
        <v>1.3883184327369199E-2</v>
      </c>
      <c r="I59" s="1">
        <f t="shared" si="14"/>
        <v>0.24249366563422936</v>
      </c>
      <c r="J59" s="1"/>
      <c r="K59" s="1">
        <f t="shared" ref="K59:K60" si="15">MAX(C59-H59, D59-H59,E59-H59,F59-H59, G59 - H59)</f>
        <v>0.49736440337331483</v>
      </c>
      <c r="L59" s="1">
        <f>C59</f>
        <v>0.200527427873263</v>
      </c>
      <c r="M59" s="2" t="e">
        <f t="shared" ref="M59:M63" si="16">(B59-H59)/B59</f>
        <v>#DIV/0!</v>
      </c>
    </row>
    <row r="60" spans="1:13" x14ac:dyDescent="0.3">
      <c r="A60" t="s">
        <v>8</v>
      </c>
      <c r="B60" s="1">
        <v>0.68414774164557401</v>
      </c>
      <c r="C60" s="1">
        <v>0.64738601570328003</v>
      </c>
      <c r="D60" s="1">
        <v>0.51638658344745603</v>
      </c>
      <c r="E60" s="1">
        <v>0.72120553751786498</v>
      </c>
      <c r="F60" s="1">
        <v>0.61922144020597103</v>
      </c>
      <c r="G60" s="1">
        <v>0.63963686302304201</v>
      </c>
      <c r="H60" s="1">
        <v>0.53681285555164004</v>
      </c>
      <c r="I60" s="1">
        <f t="shared" si="14"/>
        <v>0.61344154924154226</v>
      </c>
      <c r="J60" s="1"/>
      <c r="K60" s="1">
        <f t="shared" si="15"/>
        <v>0.18439268196622494</v>
      </c>
      <c r="L60" s="1">
        <f>AVERAGE(C60,D60)</f>
        <v>0.58188629957536797</v>
      </c>
      <c r="M60" s="2">
        <f t="shared" si="16"/>
        <v>0.21535536423689827</v>
      </c>
    </row>
    <row r="61" spans="1:13" x14ac:dyDescent="0.3">
      <c r="A61" t="s">
        <v>9</v>
      </c>
      <c r="B61" s="1">
        <v>0</v>
      </c>
      <c r="C61" s="1">
        <v>2.9463138459808101E-2</v>
      </c>
      <c r="D61" s="1">
        <v>3.3332558931154599E-3</v>
      </c>
      <c r="E61" s="1">
        <v>9.5755025031394308E-3</v>
      </c>
      <c r="F61" s="1">
        <v>0.46129658911377103</v>
      </c>
      <c r="G61" s="1">
        <v>0.25069405152559399</v>
      </c>
      <c r="H61" s="1">
        <v>2.03988339956898E-2</v>
      </c>
      <c r="I61" s="1">
        <f t="shared" si="14"/>
        <v>0.12912689524851964</v>
      </c>
      <c r="J61" s="1"/>
      <c r="K61" s="1">
        <f>MAX(C61-H61, D61-H61,E61-H61,F61-H61, G61 - H61)</f>
        <v>0.44089775511808121</v>
      </c>
      <c r="L61" s="1">
        <f>AVERAGE(C61, D61, E61)</f>
        <v>1.4123965618687664E-2</v>
      </c>
      <c r="M61" s="2" t="e">
        <f t="shared" si="16"/>
        <v>#DIV/0!</v>
      </c>
    </row>
    <row r="62" spans="1:13" x14ac:dyDescent="0.3">
      <c r="A62" t="s">
        <v>10</v>
      </c>
      <c r="B62" s="1">
        <v>0</v>
      </c>
      <c r="C62" s="1">
        <v>4.2210070067085298E-2</v>
      </c>
      <c r="D62" s="1">
        <v>5.7677537628478603E-2</v>
      </c>
      <c r="E62" s="1">
        <v>3.7977335113585697E-2</v>
      </c>
      <c r="F62" s="1">
        <v>6.0523785858094897E-2</v>
      </c>
      <c r="G62" s="1">
        <v>0.494271927823623</v>
      </c>
      <c r="H62" s="1">
        <v>0.36128580554698903</v>
      </c>
      <c r="I62" s="1">
        <f t="shared" si="14"/>
        <v>0.17565774367297607</v>
      </c>
      <c r="J62" s="1"/>
      <c r="K62" s="1">
        <f>MAX(C62-H62, D62-H62,E62-H62,F62-H62, G62 - H62)</f>
        <v>0.13298612227663398</v>
      </c>
      <c r="L62" s="1">
        <f>AVERAGE(C62, D62, E62,F62)</f>
        <v>4.9597182166811124E-2</v>
      </c>
      <c r="M62" s="2" t="e">
        <f t="shared" si="16"/>
        <v>#DIV/0!</v>
      </c>
    </row>
    <row r="63" spans="1:13" x14ac:dyDescent="0.3">
      <c r="A63" t="s">
        <v>17</v>
      </c>
      <c r="B63" s="1">
        <v>0</v>
      </c>
      <c r="C63" s="1">
        <v>2.1747973697832299E-2</v>
      </c>
      <c r="D63" s="1">
        <v>2.27093141593286E-2</v>
      </c>
      <c r="E63" s="1">
        <v>6.4701065693952798E-3</v>
      </c>
      <c r="F63" s="1">
        <v>9.9588185864073805E-3</v>
      </c>
      <c r="G63" s="1">
        <v>7.3605387293355307E-2</v>
      </c>
      <c r="H63" s="1">
        <v>0.42726903532942101</v>
      </c>
      <c r="I63" s="1">
        <f t="shared" si="14"/>
        <v>9.3626772605956643E-2</v>
      </c>
      <c r="J63" s="1"/>
      <c r="K63" s="1"/>
      <c r="L63" s="1">
        <f>AVERAGE(C63, D63, E63,F63, G63)</f>
        <v>2.6898320061263768E-2</v>
      </c>
      <c r="M63" s="2" t="e">
        <f t="shared" si="16"/>
        <v>#DIV/0!</v>
      </c>
    </row>
    <row r="64" spans="1:13" x14ac:dyDescent="0.3">
      <c r="A64" t="s">
        <v>1</v>
      </c>
      <c r="B64" s="1">
        <v>0.97939257323741902</v>
      </c>
      <c r="C64" s="1">
        <v>0.98002649843692702</v>
      </c>
      <c r="D64" s="1">
        <v>0.96503406763076705</v>
      </c>
      <c r="E64" s="1">
        <v>0.97272755205631201</v>
      </c>
      <c r="F64" s="1">
        <v>0.96530127525329501</v>
      </c>
      <c r="G64" s="1">
        <v>0.87448887526988905</v>
      </c>
      <c r="H64" s="1">
        <v>0.40513388812541901</v>
      </c>
      <c r="M64" s="2">
        <f>(B64-H64)/B64</f>
        <v>0.58634167830552997</v>
      </c>
    </row>
    <row r="65" spans="1:13" x14ac:dyDescent="0.3">
      <c r="A65" s="4" t="s">
        <v>3</v>
      </c>
      <c r="B65" s="2"/>
      <c r="C65" s="2"/>
      <c r="D65" s="2"/>
      <c r="E65" s="2"/>
      <c r="F65" s="2"/>
      <c r="G65" s="2"/>
      <c r="H65" s="2"/>
      <c r="I65" s="2">
        <f>AVERAGE(I58:I63)</f>
        <v>0.23939931351323848</v>
      </c>
      <c r="J65" s="2">
        <f>AVERAGE(H58:H63)</f>
        <v>0.22993961275508598</v>
      </c>
      <c r="K65" s="2">
        <f>AVERAGE(K58:K62)</f>
        <v>0.30909105366896805</v>
      </c>
      <c r="L65" s="2">
        <f>AVERAGE(L58:L64)</f>
        <v>0.17460663905907869</v>
      </c>
      <c r="M65" s="5"/>
    </row>
    <row r="67" spans="1:13" x14ac:dyDescent="0.3">
      <c r="A67" s="42" t="s">
        <v>52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ht="28.8" x14ac:dyDescent="0.3">
      <c r="B68" s="3" t="s">
        <v>0</v>
      </c>
      <c r="C68" s="3" t="s">
        <v>6</v>
      </c>
      <c r="D68" s="3" t="s">
        <v>7</v>
      </c>
      <c r="E68" s="3" t="s">
        <v>8</v>
      </c>
      <c r="F68" s="3" t="s">
        <v>9</v>
      </c>
      <c r="G68" s="3" t="s">
        <v>10</v>
      </c>
      <c r="H68" s="3" t="s">
        <v>17</v>
      </c>
      <c r="I68" s="4" t="s">
        <v>4</v>
      </c>
      <c r="J68" s="4" t="s">
        <v>11</v>
      </c>
      <c r="K68" s="4" t="s">
        <v>5</v>
      </c>
      <c r="L68" s="4" t="s">
        <v>2</v>
      </c>
      <c r="M68" s="4" t="s">
        <v>12</v>
      </c>
    </row>
    <row r="69" spans="1:13" x14ac:dyDescent="0.3">
      <c r="A69" t="s">
        <v>6</v>
      </c>
      <c r="B69" s="1">
        <v>0</v>
      </c>
      <c r="C69" s="1">
        <v>0.650092653930187</v>
      </c>
      <c r="D69" s="1">
        <v>0.42689064020911799</v>
      </c>
      <c r="E69" s="1">
        <v>0.140032698439123</v>
      </c>
      <c r="F69" s="1">
        <v>9.9997747857438896E-2</v>
      </c>
      <c r="G69" s="1">
        <v>0.19543707091361201</v>
      </c>
      <c r="H69" s="1">
        <v>9.6371603804072895E-3</v>
      </c>
      <c r="I69" s="1">
        <f t="shared" ref="I69:I74" si="17">AVERAGE(C69:H69)</f>
        <v>0.25368132862164766</v>
      </c>
      <c r="J69" s="1"/>
      <c r="K69" s="1">
        <f>MAX(C69-H69, D69-H69,E69-H69,F69-H69, G69 - H69)</f>
        <v>0.64045549354977971</v>
      </c>
      <c r="L69" s="1"/>
    </row>
    <row r="70" spans="1:13" x14ac:dyDescent="0.3">
      <c r="A70" t="s">
        <v>7</v>
      </c>
      <c r="B70" s="1">
        <v>0</v>
      </c>
      <c r="C70" s="1">
        <v>0.175086320120802</v>
      </c>
      <c r="D70" s="1">
        <v>0.51496979966759604</v>
      </c>
      <c r="E70" s="1">
        <v>0.15760864488159601</v>
      </c>
      <c r="F70" s="1">
        <v>3.76873327768407E-2</v>
      </c>
      <c r="G70" s="1">
        <v>0.20148745225742401</v>
      </c>
      <c r="H70" s="1">
        <v>4.02878620146414E-3</v>
      </c>
      <c r="I70" s="1">
        <f t="shared" si="17"/>
        <v>0.18181138931762045</v>
      </c>
      <c r="J70" s="1"/>
      <c r="K70" s="1">
        <f t="shared" ref="K70:K71" si="18">MAX(C70-H70, D70-H70,E70-H70,F70-H70, G70 - H70)</f>
        <v>0.51094101346613185</v>
      </c>
      <c r="L70" s="1">
        <f>C70</f>
        <v>0.175086320120802</v>
      </c>
    </row>
    <row r="71" spans="1:13" x14ac:dyDescent="0.3">
      <c r="A71" t="s">
        <v>8</v>
      </c>
      <c r="B71" s="1">
        <v>0.68415092180172599</v>
      </c>
      <c r="C71" s="1">
        <v>0.45826354747017201</v>
      </c>
      <c r="D71" s="1">
        <v>0.182892457892497</v>
      </c>
      <c r="E71" s="1">
        <v>0.75117239356040899</v>
      </c>
      <c r="F71" s="1">
        <v>0.50422024105985896</v>
      </c>
      <c r="G71" s="1">
        <v>0.43901816320915998</v>
      </c>
      <c r="H71" s="1">
        <v>1.7831174742847601E-2</v>
      </c>
      <c r="I71" s="1">
        <f t="shared" si="17"/>
        <v>0.3922329963224907</v>
      </c>
      <c r="J71" s="1"/>
      <c r="K71" s="1">
        <f t="shared" si="18"/>
        <v>0.73334121881756142</v>
      </c>
      <c r="L71" s="1">
        <f>AVERAGE(C71,D71)</f>
        <v>0.32057800268133452</v>
      </c>
    </row>
    <row r="72" spans="1:13" x14ac:dyDescent="0.3">
      <c r="A72" t="s">
        <v>9</v>
      </c>
      <c r="B72" s="1">
        <v>0</v>
      </c>
      <c r="C72" s="1">
        <v>2.5089819537242801E-3</v>
      </c>
      <c r="D72" s="1">
        <v>8.6825531373809398E-5</v>
      </c>
      <c r="E72" s="1">
        <v>1.44287126037549E-2</v>
      </c>
      <c r="F72" s="1">
        <v>0.49169817349563</v>
      </c>
      <c r="G72" s="1">
        <v>0.17877853319957099</v>
      </c>
      <c r="H72" s="1">
        <v>1.6295786391765401E-2</v>
      </c>
      <c r="I72" s="1">
        <f t="shared" si="17"/>
        <v>0.11729950219596989</v>
      </c>
      <c r="J72" s="1"/>
      <c r="K72" s="1">
        <f>MAX(C72-H72, D72-H72,E72-H72,F72-H72, G72 - H72)</f>
        <v>0.47540238710386462</v>
      </c>
      <c r="L72" s="1">
        <f>AVERAGE(C72, D72, E72)</f>
        <v>5.6748400296176629E-3</v>
      </c>
    </row>
    <row r="73" spans="1:13" x14ac:dyDescent="0.3">
      <c r="A73" t="s">
        <v>10</v>
      </c>
      <c r="B73" s="1">
        <v>0</v>
      </c>
      <c r="C73" s="1">
        <v>2.3809123144019301E-2</v>
      </c>
      <c r="D73" s="1">
        <v>2.5153320722589901E-2</v>
      </c>
      <c r="E73" s="1">
        <v>8.1686836958397097E-2</v>
      </c>
      <c r="F73" s="1">
        <v>2.8592002360104101E-2</v>
      </c>
      <c r="G73" s="1">
        <v>0.51672531291842405</v>
      </c>
      <c r="H73" s="1">
        <v>0.38095476237746501</v>
      </c>
      <c r="I73" s="1">
        <f t="shared" si="17"/>
        <v>0.17615355974683322</v>
      </c>
      <c r="J73" s="1"/>
      <c r="K73" s="1">
        <f>MAX(C73-H73, D73-H73,E73-H73,F73-H73, G73 - H73)</f>
        <v>0.13577055054095905</v>
      </c>
      <c r="L73" s="1">
        <f>AVERAGE(C73, D73, E73,F73)</f>
        <v>3.9810320796277596E-2</v>
      </c>
    </row>
    <row r="74" spans="1:13" x14ac:dyDescent="0.3">
      <c r="A74" t="s">
        <v>17</v>
      </c>
      <c r="B74" s="1">
        <v>0</v>
      </c>
      <c r="C74" s="1">
        <v>3.1019730423698301E-2</v>
      </c>
      <c r="D74" s="1">
        <v>1.92801141959838E-3</v>
      </c>
      <c r="E74" s="1">
        <v>1.1874167008196899E-2</v>
      </c>
      <c r="F74" s="1">
        <v>3.09052168237637E-3</v>
      </c>
      <c r="G74" s="1">
        <v>0.102558974021424</v>
      </c>
      <c r="H74" s="1">
        <v>0.492757857466737</v>
      </c>
      <c r="I74" s="1">
        <f t="shared" si="17"/>
        <v>0.10720487700367183</v>
      </c>
      <c r="J74" s="1"/>
      <c r="K74" s="1"/>
      <c r="L74" s="1">
        <f>AVERAGE(C74, D74, E74,F74, G74)</f>
        <v>3.0094280911058792E-2</v>
      </c>
    </row>
    <row r="75" spans="1:13" x14ac:dyDescent="0.3">
      <c r="A75" t="s">
        <v>1</v>
      </c>
      <c r="B75" s="1">
        <v>0.97939328849315599</v>
      </c>
      <c r="C75" s="1">
        <v>0.70814144611358598</v>
      </c>
      <c r="D75" s="1">
        <v>0.19279649481177299</v>
      </c>
      <c r="E75" s="1">
        <v>0.87985558807849795</v>
      </c>
      <c r="F75" s="1">
        <v>0.105818988755345</v>
      </c>
      <c r="G75" s="1">
        <v>7.9811168834567001E-2</v>
      </c>
      <c r="H75" s="1">
        <v>1.30469223950058E-3</v>
      </c>
      <c r="M75" s="2">
        <f>(B75-H75)/B75</f>
        <v>0.99866785666715374</v>
      </c>
    </row>
    <row r="76" spans="1:13" x14ac:dyDescent="0.3">
      <c r="A76" s="4" t="s">
        <v>3</v>
      </c>
      <c r="B76" s="2"/>
      <c r="C76" s="2"/>
      <c r="D76" s="2"/>
      <c r="E76" s="2"/>
      <c r="F76" s="2"/>
      <c r="G76" s="2"/>
      <c r="H76" s="2"/>
      <c r="I76" s="2">
        <f>AVERAGE(I69:I74)</f>
        <v>0.20473060886803895</v>
      </c>
      <c r="J76" s="2">
        <f>AVERAGE(H69:H74)</f>
        <v>0.15358425459344774</v>
      </c>
      <c r="K76" s="2">
        <f>AVERAGE(K69:K73)</f>
        <v>0.49918213269565931</v>
      </c>
      <c r="L76" s="2">
        <f>AVERAGE(L69:L75)</f>
        <v>0.11424875290781811</v>
      </c>
      <c r="M76" s="5"/>
    </row>
    <row r="78" spans="1:13" x14ac:dyDescent="0.3">
      <c r="A78" s="42" t="s">
        <v>53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ht="28.8" x14ac:dyDescent="0.3">
      <c r="B79" s="3" t="s">
        <v>0</v>
      </c>
      <c r="C79" s="3" t="s">
        <v>6</v>
      </c>
      <c r="D79" s="3" t="s">
        <v>7</v>
      </c>
      <c r="E79" s="3" t="s">
        <v>8</v>
      </c>
      <c r="F79" s="3" t="s">
        <v>9</v>
      </c>
      <c r="G79" s="3" t="s">
        <v>10</v>
      </c>
      <c r="H79" s="3" t="s">
        <v>17</v>
      </c>
      <c r="I79" s="4" t="s">
        <v>4</v>
      </c>
      <c r="J79" s="4" t="s">
        <v>11</v>
      </c>
      <c r="K79" s="4" t="s">
        <v>5</v>
      </c>
      <c r="L79" s="4" t="s">
        <v>2</v>
      </c>
      <c r="M79" s="4" t="s">
        <v>12</v>
      </c>
    </row>
    <row r="80" spans="1:13" x14ac:dyDescent="0.3">
      <c r="A80" t="s">
        <v>6</v>
      </c>
      <c r="B80" s="1">
        <v>0</v>
      </c>
      <c r="C80" s="1">
        <v>0.29401801596395599</v>
      </c>
      <c r="D80" s="1">
        <v>0.31090492351601501</v>
      </c>
      <c r="E80" s="1">
        <v>0.174365570303052</v>
      </c>
      <c r="F80" s="1">
        <v>0.15615277613202699</v>
      </c>
      <c r="G80" s="1">
        <v>0.21600173786282501</v>
      </c>
      <c r="H80" s="1">
        <v>2.49954253801358E-2</v>
      </c>
      <c r="I80" s="1">
        <f t="shared" ref="I80:I85" si="19">AVERAGE(C80:H80)</f>
        <v>0.19607307485966849</v>
      </c>
      <c r="J80" s="1"/>
      <c r="K80" s="1">
        <f>MAX(C80-H80, D80-H80,E80-H80,F80-H80, G80 - H80)</f>
        <v>0.28590949813587918</v>
      </c>
      <c r="L80" s="1"/>
      <c r="M80" s="2" t="e">
        <f>(B80-H80)/B80</f>
        <v>#DIV/0!</v>
      </c>
    </row>
    <row r="81" spans="1:13" x14ac:dyDescent="0.3">
      <c r="A81" t="s">
        <v>7</v>
      </c>
      <c r="B81" s="1">
        <v>0</v>
      </c>
      <c r="C81" s="1">
        <v>0.18451047829148501</v>
      </c>
      <c r="D81" s="1">
        <v>0.48972827817002901</v>
      </c>
      <c r="E81" s="1">
        <v>0.32597202000518599</v>
      </c>
      <c r="F81" s="1">
        <v>0.164863594342023</v>
      </c>
      <c r="G81" s="1">
        <v>0.35472269728779698</v>
      </c>
      <c r="H81" s="1">
        <v>1.8348881355147201E-2</v>
      </c>
      <c r="I81" s="1">
        <f t="shared" si="19"/>
        <v>0.25635765824194451</v>
      </c>
      <c r="J81" s="1"/>
      <c r="K81" s="1">
        <f t="shared" ref="K81:K82" si="20">MAX(C81-H81, D81-H81,E81-H81,F81-H81, G81 - H81)</f>
        <v>0.47137939681488183</v>
      </c>
      <c r="L81" s="1">
        <f>C81</f>
        <v>0.18451047829148501</v>
      </c>
      <c r="M81" s="2" t="e">
        <f t="shared" ref="M81:M85" si="21">(B81-H81)/B81</f>
        <v>#DIV/0!</v>
      </c>
    </row>
    <row r="82" spans="1:13" x14ac:dyDescent="0.3">
      <c r="A82" t="s">
        <v>8</v>
      </c>
      <c r="B82" s="1">
        <v>0.68415083115299502</v>
      </c>
      <c r="C82" s="1">
        <v>0.647989394764105</v>
      </c>
      <c r="D82" s="1">
        <v>0.55018743748466103</v>
      </c>
      <c r="E82" s="1">
        <v>0.71861235300699799</v>
      </c>
      <c r="F82" s="1">
        <v>0.60874584317207303</v>
      </c>
      <c r="G82" s="1">
        <v>0.64409612367550495</v>
      </c>
      <c r="H82" s="1">
        <v>0.55455522860089901</v>
      </c>
      <c r="I82" s="1">
        <f t="shared" si="19"/>
        <v>0.6206977301173735</v>
      </c>
      <c r="J82" s="1"/>
      <c r="K82" s="1">
        <f t="shared" si="20"/>
        <v>0.16405712440609899</v>
      </c>
      <c r="L82" s="1">
        <f>AVERAGE(C82,D82)</f>
        <v>0.59908841612438302</v>
      </c>
      <c r="M82" s="2">
        <f t="shared" si="21"/>
        <v>0.18942548433901538</v>
      </c>
    </row>
    <row r="83" spans="1:13" x14ac:dyDescent="0.3">
      <c r="A83" t="s">
        <v>9</v>
      </c>
      <c r="B83" s="1">
        <v>0</v>
      </c>
      <c r="C83" s="1">
        <v>2.3985927229659799E-2</v>
      </c>
      <c r="D83" s="1">
        <v>4.3562959754126496E-3</v>
      </c>
      <c r="E83" s="1">
        <v>8.1084731623377593E-3</v>
      </c>
      <c r="F83" s="1">
        <v>0.44319858433057802</v>
      </c>
      <c r="G83" s="1">
        <v>0.29128298264307201</v>
      </c>
      <c r="H83" s="1">
        <v>3.8878730744424099E-2</v>
      </c>
      <c r="I83" s="1">
        <f t="shared" si="19"/>
        <v>0.13496849901424737</v>
      </c>
      <c r="J83" s="1"/>
      <c r="K83" s="1">
        <f>MAX(C83-H83, D83-H83,E83-H83,F83-H83, G83 - H83)</f>
        <v>0.40431985358615391</v>
      </c>
      <c r="L83" s="1">
        <f>AVERAGE(C83, D83, E83)</f>
        <v>1.2150232122470067E-2</v>
      </c>
      <c r="M83" s="2" t="e">
        <f t="shared" si="21"/>
        <v>#DIV/0!</v>
      </c>
    </row>
    <row r="84" spans="1:13" x14ac:dyDescent="0.3">
      <c r="A84" t="s">
        <v>10</v>
      </c>
      <c r="B84" s="1">
        <v>0</v>
      </c>
      <c r="C84" s="1">
        <v>3.7065168474024697E-2</v>
      </c>
      <c r="D84" s="1">
        <v>6.0892349628071898E-2</v>
      </c>
      <c r="E84" s="1">
        <v>3.02781682063747E-2</v>
      </c>
      <c r="F84" s="1">
        <v>6.6053018524447296E-2</v>
      </c>
      <c r="G84" s="1">
        <v>0.47653543204069099</v>
      </c>
      <c r="H84" s="1">
        <v>0.35671881384526599</v>
      </c>
      <c r="I84" s="1">
        <f t="shared" si="19"/>
        <v>0.17125715845314593</v>
      </c>
      <c r="J84" s="1"/>
      <c r="K84" s="1">
        <f>MAX(C84-H84, D84-H84,E84-H84,F84-H84, G84 - H84)</f>
        <v>0.119816618195425</v>
      </c>
      <c r="L84" s="1">
        <f>AVERAGE(C84, D84, E84,F84)</f>
        <v>4.857217620822965E-2</v>
      </c>
      <c r="M84" s="2" t="e">
        <f t="shared" si="21"/>
        <v>#DIV/0!</v>
      </c>
    </row>
    <row r="85" spans="1:13" x14ac:dyDescent="0.3">
      <c r="A85" t="s">
        <v>17</v>
      </c>
      <c r="B85" s="1">
        <v>0</v>
      </c>
      <c r="C85" s="1">
        <v>1.9518995221612E-2</v>
      </c>
      <c r="D85" s="1">
        <v>2.5900880838283499E-2</v>
      </c>
      <c r="E85" s="1">
        <v>8.2115111775540994E-3</v>
      </c>
      <c r="F85" s="1">
        <v>1.14754470844976E-2</v>
      </c>
      <c r="G85" s="1">
        <v>7.1461220088167396E-2</v>
      </c>
      <c r="H85" s="1">
        <v>0.40217842316875801</v>
      </c>
      <c r="I85" s="1">
        <f t="shared" si="19"/>
        <v>8.9791079596478765E-2</v>
      </c>
      <c r="J85" s="1"/>
      <c r="K85" s="1"/>
      <c r="L85" s="1">
        <f>AVERAGE(C85, D85, E85,F85, G85)</f>
        <v>2.7313610882022922E-2</v>
      </c>
      <c r="M85" s="2" t="e">
        <f t="shared" si="21"/>
        <v>#DIV/0!</v>
      </c>
    </row>
    <row r="86" spans="1:13" x14ac:dyDescent="0.3">
      <c r="A86" t="s">
        <v>1</v>
      </c>
      <c r="B86" s="1">
        <v>0.97939284145831995</v>
      </c>
      <c r="C86" s="1">
        <v>0.97990089654922397</v>
      </c>
      <c r="D86" s="1">
        <v>0.97478170692920596</v>
      </c>
      <c r="E86" s="1">
        <v>0.97645062208175604</v>
      </c>
      <c r="F86" s="1">
        <v>0.97401642799377397</v>
      </c>
      <c r="G86" s="1">
        <v>0.95505240559577897</v>
      </c>
      <c r="H86" s="1">
        <v>0.74208188056945801</v>
      </c>
      <c r="M86" s="2">
        <f>(B86-H86)/B86</f>
        <v>0.24230416115305167</v>
      </c>
    </row>
    <row r="87" spans="1:13" x14ac:dyDescent="0.3">
      <c r="A87" s="4" t="s">
        <v>3</v>
      </c>
      <c r="B87" s="2"/>
      <c r="C87" s="2"/>
      <c r="D87" s="2"/>
      <c r="E87" s="2"/>
      <c r="F87" s="2"/>
      <c r="G87" s="2"/>
      <c r="H87" s="2"/>
      <c r="I87" s="2">
        <f>AVERAGE(I80:I85)</f>
        <v>0.24485753338047642</v>
      </c>
      <c r="J87" s="2">
        <f>AVERAGE(H80:H85)</f>
        <v>0.23261258384910499</v>
      </c>
      <c r="K87" s="2">
        <f>AVERAGE(K80:K84)</f>
        <v>0.28909649822768779</v>
      </c>
      <c r="L87" s="2">
        <f>AVERAGE(L80:L86)</f>
        <v>0.17432698272571812</v>
      </c>
      <c r="M87" s="5"/>
    </row>
    <row r="89" spans="1:13" x14ac:dyDescent="0.3">
      <c r="A89" s="42" t="s">
        <v>61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</row>
    <row r="90" spans="1:13" ht="28.8" x14ac:dyDescent="0.3">
      <c r="B90" s="3" t="s">
        <v>0</v>
      </c>
      <c r="C90" s="3" t="s">
        <v>6</v>
      </c>
      <c r="D90" s="3" t="s">
        <v>7</v>
      </c>
      <c r="E90" s="3" t="s">
        <v>8</v>
      </c>
      <c r="F90" s="3" t="s">
        <v>9</v>
      </c>
      <c r="G90" s="3" t="s">
        <v>10</v>
      </c>
      <c r="H90" s="3" t="s">
        <v>17</v>
      </c>
      <c r="I90" s="4" t="s">
        <v>4</v>
      </c>
      <c r="J90" s="4" t="s">
        <v>11</v>
      </c>
      <c r="K90" s="4" t="s">
        <v>5</v>
      </c>
      <c r="L90" s="4" t="s">
        <v>2</v>
      </c>
      <c r="M90" s="4" t="s">
        <v>12</v>
      </c>
    </row>
    <row r="91" spans="1:13" x14ac:dyDescent="0.3">
      <c r="A91" t="s">
        <v>6</v>
      </c>
      <c r="B91" s="1">
        <v>0</v>
      </c>
      <c r="C91" s="1">
        <v>0.27988479821942702</v>
      </c>
      <c r="D91" s="1">
        <v>0.325648284827669</v>
      </c>
      <c r="E91" s="1">
        <v>0.20797739565993301</v>
      </c>
      <c r="F91" s="1">
        <v>0.18455291508386501</v>
      </c>
      <c r="G91" s="1">
        <v>0.22993158611158501</v>
      </c>
      <c r="H91" s="1">
        <v>3.7925105301837903E-2</v>
      </c>
      <c r="I91" s="1">
        <f>AVERAGE(C91:H91)</f>
        <v>0.21098668086738614</v>
      </c>
      <c r="J91" s="1"/>
      <c r="K91" s="1">
        <f>MAX(C91-H91, D91-H91,E91-H91,F91-H91, G91 - H91)</f>
        <v>0.2877231795258311</v>
      </c>
      <c r="L91" s="1"/>
      <c r="M91" s="2" t="e">
        <f>(B91-H91)/B91</f>
        <v>#DIV/0!</v>
      </c>
    </row>
    <row r="92" spans="1:13" x14ac:dyDescent="0.3">
      <c r="A92" t="s">
        <v>7</v>
      </c>
      <c r="B92" s="1">
        <v>0</v>
      </c>
      <c r="C92" s="1">
        <v>0.17959454711914599</v>
      </c>
      <c r="D92" s="1">
        <v>0.472629239782691</v>
      </c>
      <c r="E92" s="1">
        <v>0.34221387033661199</v>
      </c>
      <c r="F92" s="1">
        <v>0.20777611605202101</v>
      </c>
      <c r="G92" s="1">
        <v>0.345511528352896</v>
      </c>
      <c r="H92" s="1">
        <v>2.28642136450313E-2</v>
      </c>
      <c r="I92" s="1">
        <f t="shared" ref="I91:I96" si="22">AVERAGE(C92:H92)</f>
        <v>0.26176491921473288</v>
      </c>
      <c r="J92" s="1"/>
      <c r="K92" s="1">
        <f t="shared" ref="K92:K93" si="23">MAX(C92-H92, D92-H92,E92-H92,F92-H92, G92 - H92)</f>
        <v>0.44976502613765967</v>
      </c>
      <c r="L92" s="1">
        <f>C92</f>
        <v>0.17959454711914599</v>
      </c>
      <c r="M92" s="2" t="e">
        <f t="shared" ref="M92:M96" si="24">(B92-H92)/B92</f>
        <v>#DIV/0!</v>
      </c>
    </row>
    <row r="93" spans="1:13" x14ac:dyDescent="0.3">
      <c r="A93" t="s">
        <v>8</v>
      </c>
      <c r="B93" s="1">
        <v>0.68415092180172599</v>
      </c>
      <c r="C93" s="1">
        <v>0.64808441326022104</v>
      </c>
      <c r="D93" s="1">
        <v>0.57130983968575799</v>
      </c>
      <c r="E93" s="1">
        <v>0.719776016970475</v>
      </c>
      <c r="F93" s="1">
        <v>0.62988085051377596</v>
      </c>
      <c r="G93" s="1">
        <v>0.64804007982214296</v>
      </c>
      <c r="H93" s="1">
        <v>0.54987368235985401</v>
      </c>
      <c r="I93" s="1">
        <f t="shared" si="22"/>
        <v>0.62782748043537129</v>
      </c>
      <c r="J93" s="1"/>
      <c r="K93" s="1">
        <f t="shared" si="23"/>
        <v>0.16990233461062099</v>
      </c>
      <c r="L93" s="1">
        <f>AVERAGE(C93,D93)</f>
        <v>0.60969712647298957</v>
      </c>
      <c r="M93" s="2">
        <f t="shared" si="24"/>
        <v>0.19626844773993729</v>
      </c>
    </row>
    <row r="94" spans="1:13" x14ac:dyDescent="0.3">
      <c r="A94" t="s">
        <v>9</v>
      </c>
      <c r="B94" s="1">
        <v>0</v>
      </c>
      <c r="C94" s="1">
        <v>2.63341711785566E-2</v>
      </c>
      <c r="D94" s="1">
        <v>3.2413491802193001E-3</v>
      </c>
      <c r="E94" s="1">
        <v>4.6027142040353797E-3</v>
      </c>
      <c r="F94" s="1">
        <v>0.447233967172602</v>
      </c>
      <c r="G94" s="1">
        <v>0.32581988951036001</v>
      </c>
      <c r="H94" s="1">
        <v>4.7448273965225399E-2</v>
      </c>
      <c r="I94" s="1">
        <f t="shared" si="22"/>
        <v>0.14244672753516646</v>
      </c>
      <c r="J94" s="1"/>
      <c r="K94" s="1">
        <f>MAX(C94-H94, D94-H94,E94-H94,F94-H94, G94 - H94)</f>
        <v>0.39978569320737661</v>
      </c>
      <c r="L94" s="1">
        <f>AVERAGE(C94, D94, E94)</f>
        <v>1.1392744854270427E-2</v>
      </c>
      <c r="M94" s="2" t="e">
        <f t="shared" si="24"/>
        <v>#DIV/0!</v>
      </c>
    </row>
    <row r="95" spans="1:13" x14ac:dyDescent="0.3">
      <c r="A95" t="s">
        <v>10</v>
      </c>
      <c r="B95" s="1">
        <v>0</v>
      </c>
      <c r="C95" s="1">
        <v>4.0292138214378298E-2</v>
      </c>
      <c r="D95" s="1">
        <v>4.6901634411672902E-2</v>
      </c>
      <c r="E95" s="1">
        <v>2.30215031576032E-2</v>
      </c>
      <c r="F95" s="1">
        <v>8.1496344265663795E-2</v>
      </c>
      <c r="G95" s="1">
        <v>0.46371002371112502</v>
      </c>
      <c r="H95" s="1">
        <v>0.35209285025484799</v>
      </c>
      <c r="I95" s="1">
        <f t="shared" si="22"/>
        <v>0.16791908233588185</v>
      </c>
      <c r="J95" s="1"/>
      <c r="K95" s="1">
        <f>MAX(C95-H95, D95-H95,E95-H95,F95-H95, G95 - H95)</f>
        <v>0.11161717345627703</v>
      </c>
      <c r="L95" s="1">
        <f>AVERAGE(C95, D95, E95,F95)</f>
        <v>4.7927905012329547E-2</v>
      </c>
      <c r="M95" s="2" t="e">
        <f t="shared" si="24"/>
        <v>#DIV/0!</v>
      </c>
    </row>
    <row r="96" spans="1:13" x14ac:dyDescent="0.3">
      <c r="A96" t="s">
        <v>17</v>
      </c>
      <c r="B96" s="1">
        <v>0</v>
      </c>
      <c r="C96" s="1">
        <v>1.8879974954870701E-2</v>
      </c>
      <c r="D96" s="1">
        <v>2.5041017873263599E-2</v>
      </c>
      <c r="E96" s="1">
        <v>8.2721821939533893E-3</v>
      </c>
      <c r="F96" s="1">
        <v>1.4397075066275E-2</v>
      </c>
      <c r="G96" s="1">
        <v>6.8471934570728296E-2</v>
      </c>
      <c r="H96" s="1">
        <v>0.38761816018571399</v>
      </c>
      <c r="I96" s="1">
        <f t="shared" si="22"/>
        <v>8.7113390807467495E-2</v>
      </c>
      <c r="J96" s="1"/>
      <c r="K96" s="1"/>
      <c r="L96" s="1">
        <f>AVERAGE(C96, D96, E96,F96, G96)</f>
        <v>2.7012436931818196E-2</v>
      </c>
      <c r="M96" s="2" t="e">
        <f t="shared" si="24"/>
        <v>#DIV/0!</v>
      </c>
    </row>
    <row r="97" spans="1:13" x14ac:dyDescent="0.3">
      <c r="A97" t="s">
        <v>1</v>
      </c>
      <c r="B97" s="1">
        <v>0.97939328849315599</v>
      </c>
      <c r="C97" s="1">
        <v>0.97959083318710305</v>
      </c>
      <c r="D97" s="1">
        <v>0.97740966081619196</v>
      </c>
      <c r="E97" s="1">
        <v>0.97826561331748896</v>
      </c>
      <c r="F97" s="1">
        <v>0.97761760652065199</v>
      </c>
      <c r="G97" s="1">
        <v>0.96840900182723999</v>
      </c>
      <c r="H97" s="1">
        <v>0.88882599771022797</v>
      </c>
      <c r="M97" s="2">
        <f>(B97-H97)/B97</f>
        <v>9.2472852169806261E-2</v>
      </c>
    </row>
    <row r="98" spans="1:13" x14ac:dyDescent="0.3">
      <c r="A98" s="4" t="s">
        <v>3</v>
      </c>
      <c r="B98" s="2"/>
      <c r="C98" s="2"/>
      <c r="D98" s="2"/>
      <c r="E98" s="2"/>
      <c r="F98" s="2"/>
      <c r="G98" s="2"/>
      <c r="H98" s="2"/>
      <c r="I98" s="2">
        <f>AVERAGE(I91:I96)</f>
        <v>0.24967638019933433</v>
      </c>
      <c r="J98" s="2">
        <f>AVERAGE(H91:H96)</f>
        <v>0.23297038095208511</v>
      </c>
      <c r="K98" s="2">
        <f>AVERAGE(K91:K95)</f>
        <v>0.28375868138755311</v>
      </c>
      <c r="L98" s="2">
        <f>AVERAGE(L91:L97)</f>
        <v>0.17512495207811077</v>
      </c>
      <c r="M98" s="5"/>
    </row>
    <row r="100" spans="1:13" x14ac:dyDescent="0.3">
      <c r="A100" s="42" t="s">
        <v>62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13" ht="28.8" x14ac:dyDescent="0.3">
      <c r="B101" s="3" t="s">
        <v>0</v>
      </c>
      <c r="C101" s="3" t="s">
        <v>6</v>
      </c>
      <c r="D101" s="3" t="s">
        <v>7</v>
      </c>
      <c r="E101" s="3" t="s">
        <v>8</v>
      </c>
      <c r="F101" s="3" t="s">
        <v>9</v>
      </c>
      <c r="G101" s="3" t="s">
        <v>10</v>
      </c>
      <c r="H101" s="3" t="s">
        <v>17</v>
      </c>
      <c r="I101" s="4" t="s">
        <v>4</v>
      </c>
      <c r="J101" s="4" t="s">
        <v>11</v>
      </c>
      <c r="K101" s="4" t="s">
        <v>5</v>
      </c>
      <c r="L101" s="4" t="s">
        <v>2</v>
      </c>
      <c r="M101" s="4" t="s">
        <v>12</v>
      </c>
    </row>
    <row r="102" spans="1:13" x14ac:dyDescent="0.3">
      <c r="A102" t="s">
        <v>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3.0378147736579799E-6</v>
      </c>
      <c r="H102" s="1">
        <v>6.6970136079665498E-5</v>
      </c>
      <c r="I102" s="1">
        <f t="shared" ref="I102:I107" si="25">AVERAGE(C102:H102)</f>
        <v>1.1667991808887247E-5</v>
      </c>
      <c r="J102" s="1"/>
      <c r="K102" s="1">
        <f>MAX(C102-H102, D102-H102,E102-H102,F102-H102, G102 - H102)</f>
        <v>-6.3932321306007513E-5</v>
      </c>
      <c r="L102" s="1"/>
      <c r="M102" s="2" t="e">
        <f>(B102-H102)/B102</f>
        <v>#DIV/0!</v>
      </c>
    </row>
    <row r="103" spans="1:13" x14ac:dyDescent="0.3">
      <c r="A103" t="s">
        <v>7</v>
      </c>
      <c r="B103" s="1">
        <v>0</v>
      </c>
      <c r="C103" s="1">
        <v>0</v>
      </c>
      <c r="D103" s="1">
        <v>5.07063396071316E-6</v>
      </c>
      <c r="E103" s="1">
        <v>7.5946287931098202E-6</v>
      </c>
      <c r="F103" s="1">
        <v>7.59116968159408E-6</v>
      </c>
      <c r="G103" s="1">
        <v>1.0102541030694999E-5</v>
      </c>
      <c r="H103" s="1">
        <v>1.7641484494864302E-5</v>
      </c>
      <c r="I103" s="1">
        <f t="shared" si="25"/>
        <v>8.0000763268293949E-6</v>
      </c>
      <c r="J103" s="1"/>
      <c r="K103" s="1">
        <f t="shared" ref="K103:K104" si="26">MAX(C103-H103, D103-H103,E103-H103,F103-H103, G103 - H103)</f>
        <v>-7.5389434641693025E-6</v>
      </c>
      <c r="L103" s="1">
        <f>C103</f>
        <v>0</v>
      </c>
      <c r="M103" s="2" t="e">
        <f t="shared" ref="M103:M107" si="27">(B103-H103)/B103</f>
        <v>#DIV/0!</v>
      </c>
    </row>
    <row r="104" spans="1:13" x14ac:dyDescent="0.3">
      <c r="A104" t="s">
        <v>8</v>
      </c>
      <c r="B104" s="1">
        <v>0.68415092180172599</v>
      </c>
      <c r="C104" s="1">
        <v>0.68627522140741304</v>
      </c>
      <c r="D104" s="1">
        <v>0.68769146998723296</v>
      </c>
      <c r="E104" s="1">
        <v>0.69030812755227</v>
      </c>
      <c r="F104" s="1">
        <v>0.690319870909055</v>
      </c>
      <c r="G104" s="1">
        <v>0.69084687779347098</v>
      </c>
      <c r="H104" s="1">
        <v>0.69167761753002799</v>
      </c>
      <c r="I104" s="1">
        <f t="shared" si="25"/>
        <v>0.68951986419657818</v>
      </c>
      <c r="J104" s="1"/>
      <c r="K104" s="1">
        <f t="shared" si="26"/>
        <v>-8.3073973655700684E-4</v>
      </c>
      <c r="L104" s="1">
        <f>AVERAGE(C104,D104)</f>
        <v>0.686983345697323</v>
      </c>
      <c r="M104" s="2">
        <f t="shared" si="27"/>
        <v>-1.1001513684261784E-2</v>
      </c>
    </row>
    <row r="105" spans="1:13" x14ac:dyDescent="0.3">
      <c r="A105" t="s">
        <v>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f t="shared" si="25"/>
        <v>0</v>
      </c>
      <c r="J105" s="1"/>
      <c r="K105" s="1">
        <f>MAX(C105-H105, D105-H105,E105-H105,F105-H105, G105 - H105)</f>
        <v>0</v>
      </c>
      <c r="L105" s="1">
        <f>AVERAGE(C105, D105, E105)</f>
        <v>0</v>
      </c>
      <c r="M105" s="2" t="e">
        <f t="shared" si="27"/>
        <v>#DIV/0!</v>
      </c>
    </row>
    <row r="106" spans="1:13" x14ac:dyDescent="0.3">
      <c r="A106" t="s">
        <v>10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f t="shared" si="25"/>
        <v>0</v>
      </c>
      <c r="J106" s="1"/>
      <c r="K106" s="1">
        <f>MAX(C106-H106, D106-H106,E106-H106,F106-H106, G106 - H106)</f>
        <v>0</v>
      </c>
      <c r="L106" s="1">
        <f>AVERAGE(C106, D106, E106,F106)</f>
        <v>0</v>
      </c>
      <c r="M106" s="2" t="e">
        <f t="shared" si="27"/>
        <v>#DIV/0!</v>
      </c>
    </row>
    <row r="107" spans="1:13" x14ac:dyDescent="0.3">
      <c r="A107" t="s">
        <v>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f t="shared" si="25"/>
        <v>0</v>
      </c>
      <c r="J107" s="1"/>
      <c r="K107" s="1"/>
      <c r="L107" s="1">
        <f>AVERAGE(C107, D107, E107,F107, G107)</f>
        <v>0</v>
      </c>
      <c r="M107" s="2" t="e">
        <f t="shared" si="27"/>
        <v>#DIV/0!</v>
      </c>
    </row>
    <row r="108" spans="1:13" x14ac:dyDescent="0.3">
      <c r="A108" t="s">
        <v>1</v>
      </c>
      <c r="B108" s="1">
        <v>0.97939328849315599</v>
      </c>
      <c r="C108" s="1">
        <v>0.97956605255603701</v>
      </c>
      <c r="D108" s="1">
        <v>0.97971005737781502</v>
      </c>
      <c r="E108" s="1">
        <v>0.97983732819557101</v>
      </c>
      <c r="F108" s="1">
        <v>0.97985342144966103</v>
      </c>
      <c r="G108" s="1">
        <v>0.97993367910385099</v>
      </c>
      <c r="H108" s="1">
        <v>0.980038061738014</v>
      </c>
      <c r="M108" s="2">
        <f>(B108-H108)/B108</f>
        <v>-6.5833945610350769E-4</v>
      </c>
    </row>
    <row r="109" spans="1:13" x14ac:dyDescent="0.3">
      <c r="A109" s="4" t="s">
        <v>3</v>
      </c>
      <c r="B109" s="2"/>
      <c r="C109" s="2"/>
      <c r="D109" s="2"/>
      <c r="E109" s="2"/>
      <c r="F109" s="2"/>
      <c r="G109" s="2"/>
      <c r="H109" s="2"/>
      <c r="I109" s="2">
        <f>AVERAGE(I102:I107)</f>
        <v>0.11492325537745231</v>
      </c>
      <c r="J109" s="2">
        <f>AVERAGE(H102:H107)</f>
        <v>0.11529370485843375</v>
      </c>
      <c r="K109" s="2">
        <f>AVERAGE(K102:K106)</f>
        <v>-1.8044220026543673E-4</v>
      </c>
      <c r="L109" s="2">
        <f>AVERAGE(L102:L108)</f>
        <v>0.13739666913946461</v>
      </c>
      <c r="M109" s="5"/>
    </row>
    <row r="111" spans="1:13" x14ac:dyDescent="0.3">
      <c r="A111" s="42" t="s">
        <v>63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</row>
    <row r="112" spans="1:13" ht="28.8" x14ac:dyDescent="0.3">
      <c r="B112" s="3" t="s">
        <v>0</v>
      </c>
      <c r="C112" s="3" t="s">
        <v>6</v>
      </c>
      <c r="D112" s="3" t="s">
        <v>7</v>
      </c>
      <c r="E112" s="3" t="s">
        <v>8</v>
      </c>
      <c r="F112" s="3" t="s">
        <v>9</v>
      </c>
      <c r="G112" s="3" t="s">
        <v>10</v>
      </c>
      <c r="H112" s="3" t="s">
        <v>17</v>
      </c>
      <c r="I112" s="4" t="s">
        <v>4</v>
      </c>
      <c r="J112" s="4" t="s">
        <v>11</v>
      </c>
      <c r="K112" s="4" t="s">
        <v>5</v>
      </c>
      <c r="L112" s="4" t="s">
        <v>2</v>
      </c>
      <c r="M112" s="4" t="s">
        <v>12</v>
      </c>
    </row>
    <row r="113" spans="1:13" x14ac:dyDescent="0.3">
      <c r="A113" t="s">
        <v>6</v>
      </c>
      <c r="B113" s="1">
        <v>0</v>
      </c>
      <c r="C113" s="1">
        <v>2.0115008616509501E-4</v>
      </c>
      <c r="D113" s="1">
        <v>6.6364599236597599E-4</v>
      </c>
      <c r="E113" s="1">
        <v>8.6463526046524398E-4</v>
      </c>
      <c r="F113" s="1">
        <v>9.4299497626100905E-4</v>
      </c>
      <c r="G113" s="1">
        <v>1.3271339897376699E-3</v>
      </c>
      <c r="H113" s="1">
        <v>1.83570093940943E-3</v>
      </c>
      <c r="I113" s="1">
        <f t="shared" ref="I113:I118" si="28">AVERAGE(C113:H113)</f>
        <v>9.7254354073407056E-4</v>
      </c>
      <c r="J113" s="1"/>
      <c r="K113" s="1">
        <f>MAX(C113-H113, D113-H113,E113-H113,F113-H113, G113 - H113)</f>
        <v>-5.0856694967176008E-4</v>
      </c>
      <c r="L113" s="1"/>
      <c r="M113" s="2" t="e">
        <f>(B113-H113)/B113</f>
        <v>#DIV/0!</v>
      </c>
    </row>
    <row r="114" spans="1:13" x14ac:dyDescent="0.3">
      <c r="A114" t="s">
        <v>7</v>
      </c>
      <c r="B114" s="1">
        <v>0</v>
      </c>
      <c r="C114" s="1">
        <v>1.26205256189374E-5</v>
      </c>
      <c r="D114" s="1">
        <v>9.0923838191277599E-5</v>
      </c>
      <c r="E114" s="1">
        <v>1.6682380373822501E-4</v>
      </c>
      <c r="F114" s="1">
        <v>1.76962334080599E-4</v>
      </c>
      <c r="G114" s="1">
        <v>6.9700030144304005E-4</v>
      </c>
      <c r="H114" s="1">
        <v>1.5573639961985401E-3</v>
      </c>
      <c r="I114" s="1">
        <f t="shared" si="28"/>
        <v>4.5028246654510326E-4</v>
      </c>
      <c r="J114" s="1"/>
      <c r="K114" s="1">
        <f t="shared" ref="K114:K115" si="29">MAX(C114-H114, D114-H114,E114-H114,F114-H114, G114 - H114)</f>
        <v>-8.6036369475550004E-4</v>
      </c>
      <c r="L114" s="1">
        <f>C114</f>
        <v>1.26205256189374E-5</v>
      </c>
      <c r="M114" s="2" t="e">
        <f t="shared" ref="M114:M118" si="30">(B114-H114)/B114</f>
        <v>#DIV/0!</v>
      </c>
    </row>
    <row r="115" spans="1:13" x14ac:dyDescent="0.3">
      <c r="A115" t="s">
        <v>8</v>
      </c>
      <c r="B115" s="1">
        <v>0.68415092180172599</v>
      </c>
      <c r="C115" s="1">
        <v>0.68963781620065301</v>
      </c>
      <c r="D115" s="1">
        <v>0.69246733312805497</v>
      </c>
      <c r="E115" s="1">
        <v>0.69757486010591097</v>
      </c>
      <c r="F115" s="1">
        <v>0.69757343207796396</v>
      </c>
      <c r="G115" s="1">
        <v>0.69851429015398003</v>
      </c>
      <c r="H115" s="1">
        <v>0.69935113936662596</v>
      </c>
      <c r="I115" s="1">
        <f t="shared" si="28"/>
        <v>0.69585314517219821</v>
      </c>
      <c r="J115" s="1"/>
      <c r="K115" s="1">
        <f t="shared" si="29"/>
        <v>-8.3684921264592926E-4</v>
      </c>
      <c r="L115" s="1">
        <f>AVERAGE(C115,D115)</f>
        <v>0.69105257466435399</v>
      </c>
      <c r="M115" s="2">
        <f t="shared" si="30"/>
        <v>-2.2217638068614862E-2</v>
      </c>
    </row>
    <row r="116" spans="1:13" x14ac:dyDescent="0.3">
      <c r="A116" t="s">
        <v>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f t="shared" si="28"/>
        <v>0</v>
      </c>
      <c r="J116" s="1"/>
      <c r="K116" s="1">
        <f>MAX(C116-H116, D116-H116,E116-H116,F116-H116, G116 - H116)</f>
        <v>0</v>
      </c>
      <c r="L116" s="1">
        <f>AVERAGE(C116, D116, E116)</f>
        <v>0</v>
      </c>
      <c r="M116" s="2" t="e">
        <f t="shared" si="30"/>
        <v>#DIV/0!</v>
      </c>
    </row>
    <row r="117" spans="1:13" x14ac:dyDescent="0.3">
      <c r="A117" t="s">
        <v>10</v>
      </c>
      <c r="B117" s="1">
        <v>0</v>
      </c>
      <c r="C117" s="1">
        <v>0</v>
      </c>
      <c r="D117" s="1">
        <v>0</v>
      </c>
      <c r="E117" s="1">
        <v>5.2769337344216098E-6</v>
      </c>
      <c r="F117" s="1">
        <v>1.1135818870873899E-5</v>
      </c>
      <c r="G117" s="1">
        <v>3.9440234043771201E-4</v>
      </c>
      <c r="H117" s="1">
        <v>6.4156330336118095E-4</v>
      </c>
      <c r="I117" s="1">
        <f t="shared" si="28"/>
        <v>1.7539639940069806E-4</v>
      </c>
      <c r="J117" s="1"/>
      <c r="K117" s="1">
        <f>MAX(C117-H117, D117-H117,E117-H117,F117-H117, G117 - H117)</f>
        <v>-2.4716096292346895E-4</v>
      </c>
      <c r="L117" s="1">
        <f>AVERAGE(C117, D117, E117,F117)</f>
        <v>4.1031881513238773E-6</v>
      </c>
      <c r="M117" s="2" t="e">
        <f t="shared" si="30"/>
        <v>#DIV/0!</v>
      </c>
    </row>
    <row r="118" spans="1:13" x14ac:dyDescent="0.3">
      <c r="A118" t="s">
        <v>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f t="shared" si="28"/>
        <v>0</v>
      </c>
      <c r="J118" s="1"/>
      <c r="K118" s="1"/>
      <c r="L118" s="1">
        <f>AVERAGE(C118, D118, E118,F118, G118)</f>
        <v>0</v>
      </c>
      <c r="M118" s="2" t="e">
        <f t="shared" si="30"/>
        <v>#DIV/0!</v>
      </c>
    </row>
    <row r="119" spans="1:13" x14ac:dyDescent="0.3">
      <c r="A119" t="s">
        <v>1</v>
      </c>
      <c r="B119" s="1">
        <v>0.97939328849315599</v>
      </c>
      <c r="C119" s="1">
        <v>0.97986288368701902</v>
      </c>
      <c r="D119" s="1">
        <v>0.98017010092735202</v>
      </c>
      <c r="E119" s="1">
        <v>0.98035338521003701</v>
      </c>
      <c r="F119" s="1">
        <v>0.98036758601665497</v>
      </c>
      <c r="G119" s="1">
        <v>0.98050756752490997</v>
      </c>
      <c r="H119" s="1">
        <v>0.98059184849262204</v>
      </c>
      <c r="M119" s="2">
        <f>(B119-H119)/B119</f>
        <v>-1.2237780404949436E-3</v>
      </c>
    </row>
    <row r="120" spans="1:13" x14ac:dyDescent="0.3">
      <c r="A120" s="4" t="s">
        <v>3</v>
      </c>
      <c r="B120" s="2"/>
      <c r="C120" s="2"/>
      <c r="D120" s="2"/>
      <c r="E120" s="2"/>
      <c r="F120" s="2"/>
      <c r="G120" s="2"/>
      <c r="H120" s="2"/>
      <c r="I120" s="2">
        <f>AVERAGE(I113:I118)</f>
        <v>0.11624189459647967</v>
      </c>
      <c r="J120" s="2">
        <f>AVERAGE(H113:H118)</f>
        <v>0.11723096126759919</v>
      </c>
      <c r="K120" s="2">
        <f>AVERAGE(K113:K117)</f>
        <v>-4.9058816399933172E-4</v>
      </c>
      <c r="L120" s="2">
        <f>AVERAGE(L113:L119)</f>
        <v>0.13821385967562486</v>
      </c>
      <c r="M120" s="5"/>
    </row>
    <row r="122" spans="1:13" x14ac:dyDescent="0.3">
      <c r="A122" s="42" t="s">
        <v>64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</row>
    <row r="123" spans="1:13" ht="28.8" x14ac:dyDescent="0.3">
      <c r="B123" s="3" t="s">
        <v>0</v>
      </c>
      <c r="C123" s="3" t="s">
        <v>6</v>
      </c>
      <c r="D123" s="3" t="s">
        <v>7</v>
      </c>
      <c r="E123" s="3" t="s">
        <v>8</v>
      </c>
      <c r="F123" s="3" t="s">
        <v>9</v>
      </c>
      <c r="G123" s="3" t="s">
        <v>10</v>
      </c>
      <c r="H123" s="3" t="s">
        <v>17</v>
      </c>
      <c r="I123" s="4" t="s">
        <v>4</v>
      </c>
      <c r="J123" s="4" t="s">
        <v>11</v>
      </c>
      <c r="K123" s="4" t="s">
        <v>5</v>
      </c>
      <c r="L123" s="4" t="s">
        <v>2</v>
      </c>
      <c r="M123" s="4" t="s">
        <v>12</v>
      </c>
    </row>
    <row r="124" spans="1:13" x14ac:dyDescent="0.3">
      <c r="A124" t="s">
        <v>6</v>
      </c>
      <c r="B124" s="1">
        <v>0</v>
      </c>
      <c r="C124" s="1">
        <v>1.7244886063660101E-3</v>
      </c>
      <c r="D124" s="1">
        <v>5.4930304710675603E-3</v>
      </c>
      <c r="E124" s="1">
        <v>5.0806260017755697E-3</v>
      </c>
      <c r="F124" s="1">
        <v>1.16761554312082E-2</v>
      </c>
      <c r="G124" s="1">
        <v>1.9701573488418899E-2</v>
      </c>
      <c r="H124" s="1">
        <v>2.7584584181264801E-2</v>
      </c>
      <c r="I124" s="1">
        <f t="shared" ref="I124:I129" si="31">AVERAGE(C124:H124)</f>
        <v>1.187674303001684E-2</v>
      </c>
      <c r="J124" s="1"/>
      <c r="K124" s="1">
        <f>MAX(C124-H124, D124-H124,E124-H124,F124-H124, G124 - H124)</f>
        <v>-7.8830106928459015E-3</v>
      </c>
      <c r="L124" s="1"/>
      <c r="M124" s="2" t="e">
        <f>(B124-H124)/B124</f>
        <v>#DIV/0!</v>
      </c>
    </row>
    <row r="125" spans="1:13" x14ac:dyDescent="0.3">
      <c r="A125" t="s">
        <v>7</v>
      </c>
      <c r="B125" s="1">
        <v>0</v>
      </c>
      <c r="C125" s="1">
        <v>2.02611796945954E-4</v>
      </c>
      <c r="D125" s="1">
        <v>1.6101445110204299E-2</v>
      </c>
      <c r="E125" s="1">
        <v>1.5582294836349301E-2</v>
      </c>
      <c r="F125" s="1">
        <v>3.9222708291163103E-2</v>
      </c>
      <c r="G125" s="1">
        <v>9.2150659392549003E-2</v>
      </c>
      <c r="H125" s="1">
        <v>0.116992030438268</v>
      </c>
      <c r="I125" s="1">
        <f t="shared" si="31"/>
        <v>4.6708624977579945E-2</v>
      </c>
      <c r="J125" s="1"/>
      <c r="K125" s="1">
        <f t="shared" ref="K125:K126" si="32">MAX(C125-H125, D125-H125,E125-H125,F125-H125, G125 - H125)</f>
        <v>-2.4841371045718999E-2</v>
      </c>
      <c r="L125" s="1">
        <f>C125</f>
        <v>2.02611796945954E-4</v>
      </c>
      <c r="M125" s="2" t="e">
        <f t="shared" ref="M125:M129" si="33">(B125-H125)/B125</f>
        <v>#DIV/0!</v>
      </c>
    </row>
    <row r="126" spans="1:13" x14ac:dyDescent="0.3">
      <c r="A126" t="s">
        <v>8</v>
      </c>
      <c r="B126" s="1">
        <v>0.68415092180172599</v>
      </c>
      <c r="C126" s="1">
        <v>0.69499057779709394</v>
      </c>
      <c r="D126" s="1">
        <v>0.698914871861537</v>
      </c>
      <c r="E126" s="1">
        <v>0.70451804995536804</v>
      </c>
      <c r="F126" s="1">
        <v>0.70091920966903298</v>
      </c>
      <c r="G126" s="1">
        <v>0.69168288384874599</v>
      </c>
      <c r="H126" s="1">
        <v>0.68276068568229598</v>
      </c>
      <c r="I126" s="1">
        <f t="shared" si="31"/>
        <v>0.6956310464690123</v>
      </c>
      <c r="J126" s="1"/>
      <c r="K126" s="1">
        <f t="shared" si="32"/>
        <v>2.1757364273072066E-2</v>
      </c>
      <c r="L126" s="1">
        <f>AVERAGE(C126,D126)</f>
        <v>0.69695272482931547</v>
      </c>
      <c r="M126" s="2">
        <f t="shared" si="33"/>
        <v>2.0320605806812249E-3</v>
      </c>
    </row>
    <row r="127" spans="1:13" x14ac:dyDescent="0.3">
      <c r="A127" t="s">
        <v>9</v>
      </c>
      <c r="B127" s="1">
        <v>0</v>
      </c>
      <c r="C127" s="1">
        <v>0</v>
      </c>
      <c r="D127" s="1">
        <v>1.52653999005754E-3</v>
      </c>
      <c r="E127" s="1">
        <v>1.72184454277157E-3</v>
      </c>
      <c r="F127" s="1">
        <v>6.7321819061968796E-2</v>
      </c>
      <c r="G127" s="1">
        <v>8.1011982159300999E-2</v>
      </c>
      <c r="H127" s="1">
        <v>8.7160877679707399E-2</v>
      </c>
      <c r="I127" s="1">
        <f t="shared" si="31"/>
        <v>3.9790510572301048E-2</v>
      </c>
      <c r="J127" s="1"/>
      <c r="K127" s="1">
        <f>MAX(C127-H127, D127-H127,E127-H127,F127-H127, G127 - H127)</f>
        <v>-6.1488955204064E-3</v>
      </c>
      <c r="L127" s="1">
        <f>AVERAGE(C127, D127, E127)</f>
        <v>1.0827948442763699E-3</v>
      </c>
      <c r="M127" s="2" t="e">
        <f t="shared" si="33"/>
        <v>#DIV/0!</v>
      </c>
    </row>
    <row r="128" spans="1:13" x14ac:dyDescent="0.3">
      <c r="A128" t="s">
        <v>10</v>
      </c>
      <c r="B128" s="1">
        <v>0</v>
      </c>
      <c r="C128" s="1">
        <v>5.2662623299208103E-6</v>
      </c>
      <c r="D128" s="1">
        <v>1.4760705040922999E-3</v>
      </c>
      <c r="E128" s="1">
        <v>1.4033105496006699E-3</v>
      </c>
      <c r="F128" s="1">
        <v>3.0208065218175701E-3</v>
      </c>
      <c r="G128" s="1">
        <v>4.6829491620883297E-2</v>
      </c>
      <c r="H128" s="1">
        <v>7.2838026234724795E-2</v>
      </c>
      <c r="I128" s="1">
        <f t="shared" si="31"/>
        <v>2.0928828615574758E-2</v>
      </c>
      <c r="J128" s="1"/>
      <c r="K128" s="1">
        <f>MAX(C128-H128, D128-H128,E128-H128,F128-H128, G128 - H128)</f>
        <v>-2.6008534613841498E-2</v>
      </c>
      <c r="L128" s="1">
        <f>AVERAGE(C128, D128, E128,F128)</f>
        <v>1.4763634594601152E-3</v>
      </c>
      <c r="M128" s="2" t="e">
        <f t="shared" si="33"/>
        <v>#DIV/0!</v>
      </c>
    </row>
    <row r="129" spans="1:13" x14ac:dyDescent="0.3">
      <c r="A129" t="s">
        <v>17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6.7263088809947104E-4</v>
      </c>
      <c r="H129" s="1">
        <v>2.5466438831548001E-3</v>
      </c>
      <c r="I129" s="1">
        <f t="shared" si="31"/>
        <v>5.3654579520904524E-4</v>
      </c>
      <c r="J129" s="1"/>
      <c r="K129" s="1"/>
      <c r="L129" s="1">
        <f>AVERAGE(C129, D129, E129,F129, G129)</f>
        <v>1.3452617761989421E-4</v>
      </c>
      <c r="M129" s="2" t="e">
        <f t="shared" si="33"/>
        <v>#DIV/0!</v>
      </c>
    </row>
    <row r="130" spans="1:13" x14ac:dyDescent="0.3">
      <c r="A130" t="s">
        <v>1</v>
      </c>
      <c r="B130" s="1">
        <v>0.97939328849315599</v>
      </c>
      <c r="C130" s="1">
        <v>0.98041878640651703</v>
      </c>
      <c r="D130" s="1">
        <v>0.98039595782756805</v>
      </c>
      <c r="E130" s="1">
        <v>0.98055128753185195</v>
      </c>
      <c r="F130" s="1">
        <v>0.98002715408801999</v>
      </c>
      <c r="G130" s="1">
        <v>0.97799220681190402</v>
      </c>
      <c r="H130" s="1">
        <v>0.97569365799426999</v>
      </c>
      <c r="M130" s="2">
        <f>(B130-H130)/B130</f>
        <v>3.7774717698730179E-3</v>
      </c>
    </row>
    <row r="131" spans="1:13" x14ac:dyDescent="0.3">
      <c r="A131" s="4" t="s">
        <v>3</v>
      </c>
      <c r="B131" s="2"/>
      <c r="C131" s="2"/>
      <c r="D131" s="2"/>
      <c r="E131" s="2"/>
      <c r="F131" s="2"/>
      <c r="G131" s="2"/>
      <c r="H131" s="2"/>
      <c r="I131" s="2">
        <f>AVERAGE(I124:I129)</f>
        <v>0.13591204990994898</v>
      </c>
      <c r="J131" s="2">
        <f>AVERAGE(H124:H129)</f>
        <v>0.16498047468323596</v>
      </c>
      <c r="K131" s="2">
        <f>AVERAGE(K124:K128)</f>
        <v>-8.6248895199481472E-3</v>
      </c>
      <c r="L131" s="2">
        <f>AVERAGE(L124:L130)</f>
        <v>0.13996980422152355</v>
      </c>
      <c r="M131" s="5"/>
    </row>
    <row r="133" spans="1:13" x14ac:dyDescent="0.3">
      <c r="A133" s="42" t="s">
        <v>65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</row>
    <row r="134" spans="1:13" ht="28.8" x14ac:dyDescent="0.3">
      <c r="B134" s="3" t="s">
        <v>0</v>
      </c>
      <c r="C134" s="3" t="s">
        <v>17</v>
      </c>
      <c r="D134" s="3" t="s">
        <v>10</v>
      </c>
      <c r="E134" s="3" t="s">
        <v>9</v>
      </c>
      <c r="F134" s="3" t="s">
        <v>8</v>
      </c>
      <c r="G134" s="3" t="s">
        <v>7</v>
      </c>
      <c r="H134" s="3" t="s">
        <v>6</v>
      </c>
      <c r="I134" s="4" t="s">
        <v>4</v>
      </c>
      <c r="J134" s="4" t="s">
        <v>11</v>
      </c>
      <c r="K134" s="4" t="s">
        <v>5</v>
      </c>
      <c r="L134" s="4" t="s">
        <v>2</v>
      </c>
      <c r="M134" s="4" t="s">
        <v>12</v>
      </c>
    </row>
    <row r="135" spans="1:13" x14ac:dyDescent="0.3">
      <c r="A135" t="s">
        <v>17</v>
      </c>
      <c r="B135" s="1">
        <v>0</v>
      </c>
      <c r="C135" s="1">
        <v>1.44798968679727E-2</v>
      </c>
      <c r="D135" s="1">
        <v>7.29037626050133E-2</v>
      </c>
      <c r="E135" s="1">
        <v>7.1694520753226201E-2</v>
      </c>
      <c r="F135" s="1">
        <v>6.4993991448924704E-2</v>
      </c>
      <c r="G135" s="1">
        <v>7.2572681414991694E-2</v>
      </c>
      <c r="H135" s="1">
        <v>0.12738416347807799</v>
      </c>
      <c r="I135" s="1">
        <f t="shared" ref="I135:I140" si="34">AVERAGE(C135:H135)</f>
        <v>7.0671502761367758E-2</v>
      </c>
      <c r="J135" s="1"/>
      <c r="K135" s="1">
        <f>MAX(C135-H135, D135-H135,E135-H135,F135-H135, G135 - H135)</f>
        <v>-5.4480400873064688E-2</v>
      </c>
      <c r="L135" s="1"/>
      <c r="M135" s="2" t="e">
        <f>(B135-H135)/B135</f>
        <v>#DIV/0!</v>
      </c>
    </row>
    <row r="136" spans="1:13" x14ac:dyDescent="0.3">
      <c r="A136" t="s">
        <v>10</v>
      </c>
      <c r="B136" s="1">
        <v>0</v>
      </c>
      <c r="C136" s="1">
        <v>3.7581223431819397E-2</v>
      </c>
      <c r="D136" s="1">
        <v>0.46919615194201397</v>
      </c>
      <c r="E136" s="1">
        <v>0.30347477085888303</v>
      </c>
      <c r="F136" s="1">
        <v>0.33011014573275999</v>
      </c>
      <c r="G136" s="1">
        <v>0.41112124609450501</v>
      </c>
      <c r="H136" s="1">
        <v>0.32765284118553001</v>
      </c>
      <c r="I136" s="1">
        <f t="shared" si="34"/>
        <v>0.31318939654091854</v>
      </c>
      <c r="J136" s="1"/>
      <c r="K136" s="1">
        <f t="shared" ref="K136:K137" si="35">MAX(C136-H136, D136-H136,E136-H136,F136-H136, G136 - H136)</f>
        <v>0.14154331075648396</v>
      </c>
      <c r="L136" s="1">
        <f>C136</f>
        <v>3.7581223431819397E-2</v>
      </c>
      <c r="M136" s="2" t="e">
        <f t="shared" ref="M136:M140" si="36">(B136-H136)/B136</f>
        <v>#DIV/0!</v>
      </c>
    </row>
    <row r="137" spans="1:13" x14ac:dyDescent="0.3">
      <c r="A137" t="s">
        <v>9</v>
      </c>
      <c r="B137" s="1">
        <v>0</v>
      </c>
      <c r="C137" s="1">
        <v>1.32046923196564E-3</v>
      </c>
      <c r="D137" s="1">
        <v>8.1775283385165098E-3</v>
      </c>
      <c r="E137" s="1">
        <v>0.43964437923083699</v>
      </c>
      <c r="F137" s="1">
        <v>0.40628221724182301</v>
      </c>
      <c r="G137" s="1">
        <v>0.21214296948164699</v>
      </c>
      <c r="H137" s="1">
        <v>0.17550250106918</v>
      </c>
      <c r="I137" s="1">
        <f t="shared" si="34"/>
        <v>0.20717834409899485</v>
      </c>
      <c r="J137" s="1"/>
      <c r="K137" s="1">
        <f t="shared" si="35"/>
        <v>0.26414187816165702</v>
      </c>
      <c r="L137" s="1">
        <f>AVERAGE(C137,D137)</f>
        <v>4.7489987852410752E-3</v>
      </c>
      <c r="M137" s="2" t="e">
        <f t="shared" si="36"/>
        <v>#DIV/0!</v>
      </c>
    </row>
    <row r="138" spans="1:13" x14ac:dyDescent="0.3">
      <c r="A138" t="s">
        <v>8</v>
      </c>
      <c r="B138" s="1">
        <v>0.68414774164557401</v>
      </c>
      <c r="C138" s="1">
        <v>0.69320171947280496</v>
      </c>
      <c r="D138" s="1">
        <v>0.67015013843774796</v>
      </c>
      <c r="E138" s="1">
        <v>0.60874029745658198</v>
      </c>
      <c r="F138" s="1">
        <v>0.72232387959957101</v>
      </c>
      <c r="G138" s="1">
        <v>0.646327438453833</v>
      </c>
      <c r="H138" s="1">
        <v>0.501144601653019</v>
      </c>
      <c r="I138" s="1">
        <f t="shared" si="34"/>
        <v>0.64031467917892637</v>
      </c>
      <c r="J138" s="1"/>
      <c r="K138" s="1">
        <f>MAX(C138-H138, D138-H138,E138-H138,F138-H138, G138 - H138)</f>
        <v>0.22117927794655201</v>
      </c>
      <c r="L138" s="1">
        <f>AVERAGE(C138, D138, E138)</f>
        <v>0.657364051789045</v>
      </c>
      <c r="M138" s="2">
        <f t="shared" si="36"/>
        <v>0.26749067321683956</v>
      </c>
    </row>
    <row r="139" spans="1:13" x14ac:dyDescent="0.3">
      <c r="A139" t="s">
        <v>7</v>
      </c>
      <c r="B139" s="1">
        <v>0</v>
      </c>
      <c r="C139" s="1">
        <v>1.7758646068007901E-2</v>
      </c>
      <c r="D139" s="1">
        <v>0.188460391635696</v>
      </c>
      <c r="E139" s="1">
        <v>0.105700084855016</v>
      </c>
      <c r="F139" s="1">
        <v>6.0862458410459397E-2</v>
      </c>
      <c r="G139" s="1">
        <v>0.47681521003444899</v>
      </c>
      <c r="H139" s="1">
        <v>0.42677036051948802</v>
      </c>
      <c r="I139" s="1">
        <f t="shared" si="34"/>
        <v>0.21272785858718604</v>
      </c>
      <c r="J139" s="1"/>
      <c r="K139" s="1">
        <f>MAX(C139-H139, D139-H139,E139-H139,F139-H139, G139 - H139)</f>
        <v>5.0044849514960965E-2</v>
      </c>
      <c r="L139" s="1">
        <f>AVERAGE(C139, D139, E139,F139)</f>
        <v>9.3195395242294823E-2</v>
      </c>
      <c r="M139" s="2" t="e">
        <f t="shared" si="36"/>
        <v>#DIV/0!</v>
      </c>
    </row>
    <row r="140" spans="1:13" x14ac:dyDescent="0.3">
      <c r="A140" t="s">
        <v>6</v>
      </c>
      <c r="B140" s="1">
        <v>0</v>
      </c>
      <c r="C140" s="1">
        <v>1.6931207996700899E-2</v>
      </c>
      <c r="D140" s="1">
        <v>1.2404027950045299E-2</v>
      </c>
      <c r="E140" s="1">
        <v>8.9894596769833399E-2</v>
      </c>
      <c r="F140" s="1">
        <v>3.46174434986702E-2</v>
      </c>
      <c r="G140" s="1">
        <v>0.117674056691612</v>
      </c>
      <c r="H140" s="1">
        <v>0.51000588883956199</v>
      </c>
      <c r="I140" s="1">
        <f t="shared" si="34"/>
        <v>0.13025453695773728</v>
      </c>
      <c r="J140" s="1"/>
      <c r="K140" s="1"/>
      <c r="L140" s="1">
        <f>AVERAGE(C140, D140, E140,F140, G140)</f>
        <v>5.4304266581372364E-2</v>
      </c>
      <c r="M140" s="2" t="e">
        <f t="shared" si="36"/>
        <v>#DIV/0!</v>
      </c>
    </row>
    <row r="141" spans="1:13" x14ac:dyDescent="0.3">
      <c r="A141" t="s">
        <v>1</v>
      </c>
      <c r="B141" s="1">
        <v>0.97939257323741902</v>
      </c>
      <c r="C141" s="1">
        <v>0.97154203057289101</v>
      </c>
      <c r="D141" s="1">
        <v>0.97783996164798703</v>
      </c>
      <c r="E141" s="1">
        <v>0.97526913881301802</v>
      </c>
      <c r="F141" s="1">
        <v>0.97691413760185197</v>
      </c>
      <c r="G141" s="1">
        <v>0.96664711833000105</v>
      </c>
      <c r="H141" s="1">
        <v>0.912181556224823</v>
      </c>
      <c r="M141" s="2">
        <f>(B141-H141)/B141</f>
        <v>6.8625205917610205E-2</v>
      </c>
    </row>
    <row r="142" spans="1:13" x14ac:dyDescent="0.3">
      <c r="A142" s="4" t="s">
        <v>3</v>
      </c>
      <c r="B142" s="2"/>
      <c r="C142" s="2"/>
      <c r="D142" s="2"/>
      <c r="E142" s="2"/>
      <c r="F142" s="2"/>
      <c r="G142" s="2"/>
      <c r="H142" s="2"/>
      <c r="I142" s="2">
        <f>AVERAGE(I135:I140)</f>
        <v>0.26238938635418846</v>
      </c>
      <c r="J142" s="2">
        <f>AVERAGE(H135:H140)</f>
        <v>0.34474339279080946</v>
      </c>
      <c r="K142" s="2">
        <f>AVERAGE(K135:K139)</f>
        <v>0.12448578310131783</v>
      </c>
      <c r="L142" s="2">
        <f>AVERAGE(L135:L141)</f>
        <v>0.16943878716595454</v>
      </c>
      <c r="M142" s="5"/>
    </row>
    <row r="144" spans="1:13" x14ac:dyDescent="0.3">
      <c r="A144" s="42" t="s">
        <v>66</v>
      </c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</row>
    <row r="145" spans="1:13" ht="28.8" x14ac:dyDescent="0.3">
      <c r="B145" s="3" t="s">
        <v>0</v>
      </c>
      <c r="C145" s="3" t="s">
        <v>6</v>
      </c>
      <c r="D145" s="3" t="s">
        <v>7</v>
      </c>
      <c r="E145" s="3" t="s">
        <v>8</v>
      </c>
      <c r="F145" s="3" t="s">
        <v>9</v>
      </c>
      <c r="G145" s="3" t="s">
        <v>10</v>
      </c>
      <c r="H145" s="3" t="s">
        <v>17</v>
      </c>
      <c r="I145" s="4" t="s">
        <v>4</v>
      </c>
      <c r="J145" s="4" t="s">
        <v>11</v>
      </c>
      <c r="K145" s="4" t="s">
        <v>5</v>
      </c>
      <c r="L145" s="4" t="s">
        <v>2</v>
      </c>
      <c r="M145" s="4" t="s">
        <v>12</v>
      </c>
    </row>
    <row r="146" spans="1:13" x14ac:dyDescent="0.3">
      <c r="A146" t="s">
        <v>6</v>
      </c>
      <c r="B146" s="1">
        <v>0</v>
      </c>
      <c r="C146" s="1">
        <v>4.36828129240893E-2</v>
      </c>
      <c r="D146" s="1">
        <v>0.28493367449846102</v>
      </c>
      <c r="E146" s="1">
        <v>0.30971095196825099</v>
      </c>
      <c r="F146" s="1">
        <v>0.28826692203680598</v>
      </c>
      <c r="G146" s="1">
        <v>0.33872390848894901</v>
      </c>
      <c r="H146" s="1">
        <v>0.37439324085911102</v>
      </c>
      <c r="I146" s="1">
        <f t="shared" ref="I146:I151" si="37">AVERAGE(C146:H146)</f>
        <v>0.27328525179594459</v>
      </c>
      <c r="J146" s="1"/>
      <c r="K146" s="1">
        <f>MAX(C146-H146, D146-H146,E146-H146,F146-H146, G146 - H146)</f>
        <v>-3.566933237016201E-2</v>
      </c>
      <c r="L146" s="1"/>
      <c r="M146" s="2" t="e">
        <f>(B146-H146)/B146</f>
        <v>#DIV/0!</v>
      </c>
    </row>
    <row r="147" spans="1:13" x14ac:dyDescent="0.3">
      <c r="A147" t="s">
        <v>7</v>
      </c>
      <c r="B147" s="1">
        <v>0</v>
      </c>
      <c r="C147" s="1">
        <v>4.18827823887113E-2</v>
      </c>
      <c r="D147" s="1">
        <v>0.45252075170477202</v>
      </c>
      <c r="E147" s="1">
        <v>0.39415805041789997</v>
      </c>
      <c r="F147" s="1">
        <v>0.25456278678029698</v>
      </c>
      <c r="G147" s="1">
        <v>0.41766473775108598</v>
      </c>
      <c r="H147" s="1">
        <v>0.37422978629668502</v>
      </c>
      <c r="I147" s="1">
        <f t="shared" si="37"/>
        <v>0.32250314922324191</v>
      </c>
      <c r="J147" s="1"/>
      <c r="K147" s="1">
        <f t="shared" ref="K147:K148" si="38">MAX(C147-H147, D147-H147,E147-H147,F147-H147, G147 - H147)</f>
        <v>7.8290965408086999E-2</v>
      </c>
      <c r="L147" s="1">
        <f>C147</f>
        <v>4.18827823887113E-2</v>
      </c>
      <c r="M147" s="2" t="e">
        <f t="shared" ref="M147:M151" si="39">(B147-H147)/B147</f>
        <v>#DIV/0!</v>
      </c>
    </row>
    <row r="148" spans="1:13" x14ac:dyDescent="0.3">
      <c r="A148" t="s">
        <v>8</v>
      </c>
      <c r="B148" s="1">
        <v>0.68414774164557401</v>
      </c>
      <c r="C148" s="1">
        <v>0.68199293936292305</v>
      </c>
      <c r="D148" s="1">
        <v>0.579882141202688</v>
      </c>
      <c r="E148" s="1">
        <v>0.72336417933305097</v>
      </c>
      <c r="F148" s="1">
        <v>0.63083058719833696</v>
      </c>
      <c r="G148" s="1">
        <v>0.67629171659549003</v>
      </c>
      <c r="H148" s="1">
        <v>0.692489800353845</v>
      </c>
      <c r="I148" s="1">
        <f t="shared" si="37"/>
        <v>0.66414189400772228</v>
      </c>
      <c r="J148" s="1"/>
      <c r="K148" s="1">
        <f t="shared" si="38"/>
        <v>3.0874378979205974E-2</v>
      </c>
      <c r="L148" s="1">
        <f>AVERAGE(C148,D148)</f>
        <v>0.63093754028280546</v>
      </c>
      <c r="M148" s="2">
        <f t="shared" si="39"/>
        <v>-1.2193358540080699E-2</v>
      </c>
    </row>
    <row r="149" spans="1:13" x14ac:dyDescent="0.3">
      <c r="A149" t="s">
        <v>9</v>
      </c>
      <c r="B149" s="1">
        <v>0</v>
      </c>
      <c r="C149" s="1">
        <v>0</v>
      </c>
      <c r="D149" s="1">
        <v>1.3441227686901799E-4</v>
      </c>
      <c r="E149" s="1">
        <v>0</v>
      </c>
      <c r="F149" s="1">
        <v>0.45664225363483002</v>
      </c>
      <c r="G149" s="1">
        <v>0.42268542510767698</v>
      </c>
      <c r="H149" s="1">
        <v>0.42074675951153001</v>
      </c>
      <c r="I149" s="1">
        <f t="shared" si="37"/>
        <v>0.21670147508848434</v>
      </c>
      <c r="J149" s="1"/>
      <c r="K149" s="1">
        <f>MAX(C149-H149, D149-H149,E149-H149,F149-H149, G149 - H149)</f>
        <v>3.5895494123300009E-2</v>
      </c>
      <c r="L149" s="1">
        <f>AVERAGE(C149, D149, E149)</f>
        <v>4.4804092289672662E-5</v>
      </c>
      <c r="M149" s="2" t="e">
        <f t="shared" si="39"/>
        <v>#DIV/0!</v>
      </c>
    </row>
    <row r="150" spans="1:13" x14ac:dyDescent="0.3">
      <c r="A150" t="s">
        <v>10</v>
      </c>
      <c r="B150" s="1">
        <v>0</v>
      </c>
      <c r="C150" s="1">
        <v>7.5943269048366303E-3</v>
      </c>
      <c r="D150" s="1">
        <v>3.5750881050868502E-2</v>
      </c>
      <c r="E150" s="1">
        <v>2.3783541156565901E-2</v>
      </c>
      <c r="F150" s="1">
        <v>6.9142314443524797E-2</v>
      </c>
      <c r="G150" s="1">
        <v>0.48469076740244998</v>
      </c>
      <c r="H150" s="1">
        <v>0.399039616885905</v>
      </c>
      <c r="I150" s="1">
        <f t="shared" si="37"/>
        <v>0.17000024130735847</v>
      </c>
      <c r="J150" s="1"/>
      <c r="K150" s="1">
        <f>MAX(C150-H150, D150-H150,E150-H150,F150-H150, G150 - H150)</f>
        <v>8.5651150516544983E-2</v>
      </c>
      <c r="L150" s="1">
        <f>AVERAGE(C150, D150, E150,F150)</f>
        <v>3.4067765888948956E-2</v>
      </c>
      <c r="M150" s="2" t="e">
        <f t="shared" si="39"/>
        <v>#DIV/0!</v>
      </c>
    </row>
    <row r="151" spans="1:13" x14ac:dyDescent="0.3">
      <c r="A151" t="s">
        <v>17</v>
      </c>
      <c r="B151" s="1">
        <v>0</v>
      </c>
      <c r="C151" s="1">
        <v>4.0811661771537403E-6</v>
      </c>
      <c r="D151" s="1">
        <v>2.8186054286379599E-2</v>
      </c>
      <c r="E151" s="1">
        <v>2.0885197639775699E-2</v>
      </c>
      <c r="F151" s="1">
        <v>2.6509733703278401E-2</v>
      </c>
      <c r="G151" s="1">
        <v>8.2139925838419003E-2</v>
      </c>
      <c r="H151" s="1">
        <v>0.41388601375122802</v>
      </c>
      <c r="I151" s="1">
        <f t="shared" si="37"/>
        <v>9.5268501064209643E-2</v>
      </c>
      <c r="J151" s="1"/>
      <c r="K151" s="1"/>
      <c r="L151" s="1">
        <f>AVERAGE(C151, D151, E151,F151, G151)</f>
        <v>3.1544998526805972E-2</v>
      </c>
      <c r="M151" s="2" t="e">
        <f t="shared" si="39"/>
        <v>#DIV/0!</v>
      </c>
    </row>
    <row r="152" spans="1:13" x14ac:dyDescent="0.3">
      <c r="A152" t="s">
        <v>1</v>
      </c>
      <c r="B152" s="1">
        <v>0.97939257323741902</v>
      </c>
      <c r="C152" s="1">
        <v>0.97264827787876096</v>
      </c>
      <c r="D152" s="1">
        <v>0.97500678896903903</v>
      </c>
      <c r="E152" s="1">
        <v>0.97785085439681996</v>
      </c>
      <c r="F152" s="1">
        <v>0.97327561676502194</v>
      </c>
      <c r="G152" s="1">
        <v>0.96787934005260401</v>
      </c>
      <c r="H152" s="1">
        <v>0.97278699278831404</v>
      </c>
      <c r="M152" s="2">
        <f>(B152-H152)/B152</f>
        <v>6.7445686536809039E-3</v>
      </c>
    </row>
    <row r="153" spans="1:13" x14ac:dyDescent="0.3">
      <c r="A153" s="4" t="s">
        <v>3</v>
      </c>
      <c r="B153" s="2"/>
      <c r="C153" s="2"/>
      <c r="D153" s="2"/>
      <c r="E153" s="2"/>
      <c r="F153" s="2"/>
      <c r="G153" s="2"/>
      <c r="H153" s="2"/>
      <c r="I153" s="2">
        <f>AVERAGE(I146:I151)</f>
        <v>0.2903167520811602</v>
      </c>
      <c r="J153" s="2">
        <f>AVERAGE(H146:H151)</f>
        <v>0.44579753627638402</v>
      </c>
      <c r="K153" s="2">
        <f>AVERAGE(K146:K150)</f>
        <v>3.9008531331395188E-2</v>
      </c>
      <c r="L153" s="2">
        <f>AVERAGE(L146:L152)</f>
        <v>0.14769557823591228</v>
      </c>
      <c r="M153" s="5"/>
    </row>
  </sheetData>
  <mergeCells count="14">
    <mergeCell ref="A56:M56"/>
    <mergeCell ref="A67:M67"/>
    <mergeCell ref="A78:M78"/>
    <mergeCell ref="A89:M89"/>
    <mergeCell ref="A1:M1"/>
    <mergeCell ref="A12:M12"/>
    <mergeCell ref="A34:M34"/>
    <mergeCell ref="A23:M23"/>
    <mergeCell ref="A45:M45"/>
    <mergeCell ref="A144:M144"/>
    <mergeCell ref="A100:M100"/>
    <mergeCell ref="A111:M111"/>
    <mergeCell ref="A122:M122"/>
    <mergeCell ref="A133:M133"/>
  </mergeCells>
  <conditionalFormatting sqref="B3:H9">
    <cfRule type="cellIs" dxfId="139" priority="66" operator="between">
      <formula>0.1</formula>
      <formula>0.2</formula>
    </cfRule>
    <cfRule type="cellIs" dxfId="138" priority="67" operator="between">
      <formula>0.2</formula>
      <formula>0.4</formula>
    </cfRule>
    <cfRule type="cellIs" dxfId="137" priority="68" operator="between">
      <formula>0.4</formula>
      <formula>0.6</formula>
    </cfRule>
    <cfRule type="cellIs" dxfId="136" priority="69" operator="between">
      <formula>0.6</formula>
      <formula>0.8</formula>
    </cfRule>
    <cfRule type="cellIs" dxfId="135" priority="70" operator="between">
      <formula>0.8</formula>
      <formula>1</formula>
    </cfRule>
  </conditionalFormatting>
  <conditionalFormatting sqref="B14:H20">
    <cfRule type="cellIs" dxfId="134" priority="61" operator="between">
      <formula>0.1</formula>
      <formula>0.2</formula>
    </cfRule>
    <cfRule type="cellIs" dxfId="133" priority="62" operator="between">
      <formula>0.2</formula>
      <formula>0.4</formula>
    </cfRule>
    <cfRule type="cellIs" dxfId="132" priority="63" operator="between">
      <formula>0.4</formula>
      <formula>0.6</formula>
    </cfRule>
    <cfRule type="cellIs" dxfId="131" priority="64" operator="between">
      <formula>0.6</formula>
      <formula>0.8</formula>
    </cfRule>
    <cfRule type="cellIs" dxfId="130" priority="65" operator="between">
      <formula>0.8</formula>
      <formula>1</formula>
    </cfRule>
  </conditionalFormatting>
  <conditionalFormatting sqref="B25:H31">
    <cfRule type="cellIs" dxfId="129" priority="51" operator="between">
      <formula>0.1</formula>
      <formula>0.2</formula>
    </cfRule>
    <cfRule type="cellIs" dxfId="128" priority="52" operator="between">
      <formula>0.2</formula>
      <formula>0.4</formula>
    </cfRule>
    <cfRule type="cellIs" dxfId="127" priority="53" operator="between">
      <formula>0.4</formula>
      <formula>0.6</formula>
    </cfRule>
    <cfRule type="cellIs" dxfId="126" priority="54" operator="between">
      <formula>0.6</formula>
      <formula>0.8</formula>
    </cfRule>
    <cfRule type="cellIs" dxfId="125" priority="55" operator="between">
      <formula>0.8</formula>
      <formula>1</formula>
    </cfRule>
  </conditionalFormatting>
  <conditionalFormatting sqref="B36:H42">
    <cfRule type="cellIs" dxfId="124" priority="56" operator="between">
      <formula>0.1</formula>
      <formula>0.2</formula>
    </cfRule>
    <cfRule type="cellIs" dxfId="123" priority="57" operator="between">
      <formula>0.2</formula>
      <formula>0.4</formula>
    </cfRule>
    <cfRule type="cellIs" dxfId="122" priority="58" operator="between">
      <formula>0.4</formula>
      <formula>0.6</formula>
    </cfRule>
    <cfRule type="cellIs" dxfId="121" priority="59" operator="between">
      <formula>0.6</formula>
      <formula>0.8</formula>
    </cfRule>
    <cfRule type="cellIs" dxfId="120" priority="60" operator="between">
      <formula>0.8</formula>
      <formula>1</formula>
    </cfRule>
  </conditionalFormatting>
  <conditionalFormatting sqref="B47:H53">
    <cfRule type="cellIs" dxfId="119" priority="46" operator="between">
      <formula>0.1</formula>
      <formula>0.2</formula>
    </cfRule>
    <cfRule type="cellIs" dxfId="118" priority="47" operator="between">
      <formula>0.2</formula>
      <formula>0.4</formula>
    </cfRule>
    <cfRule type="cellIs" dxfId="117" priority="48" operator="between">
      <formula>0.4</formula>
      <formula>0.6</formula>
    </cfRule>
    <cfRule type="cellIs" dxfId="116" priority="49" operator="between">
      <formula>0.6</formula>
      <formula>0.8</formula>
    </cfRule>
    <cfRule type="cellIs" dxfId="115" priority="50" operator="between">
      <formula>0.8</formula>
      <formula>1</formula>
    </cfRule>
  </conditionalFormatting>
  <conditionalFormatting sqref="B58:H64">
    <cfRule type="cellIs" dxfId="114" priority="41" operator="between">
      <formula>0.1</formula>
      <formula>0.2</formula>
    </cfRule>
    <cfRule type="cellIs" dxfId="113" priority="42" operator="between">
      <formula>0.2</formula>
      <formula>0.4</formula>
    </cfRule>
    <cfRule type="cellIs" dxfId="112" priority="43" operator="between">
      <formula>0.4</formula>
      <formula>0.6</formula>
    </cfRule>
    <cfRule type="cellIs" dxfId="111" priority="44" operator="between">
      <formula>0.6</formula>
      <formula>0.8</formula>
    </cfRule>
    <cfRule type="cellIs" dxfId="110" priority="45" operator="between">
      <formula>0.8</formula>
      <formula>1</formula>
    </cfRule>
  </conditionalFormatting>
  <conditionalFormatting sqref="B69:H75">
    <cfRule type="cellIs" dxfId="109" priority="36" operator="between">
      <formula>0.1</formula>
      <formula>0.2</formula>
    </cfRule>
    <cfRule type="cellIs" dxfId="108" priority="37" operator="between">
      <formula>0.2</formula>
      <formula>0.4</formula>
    </cfRule>
    <cfRule type="cellIs" dxfId="107" priority="38" operator="between">
      <formula>0.4</formula>
      <formula>0.6</formula>
    </cfRule>
    <cfRule type="cellIs" dxfId="106" priority="39" operator="between">
      <formula>0.6</formula>
      <formula>0.8</formula>
    </cfRule>
    <cfRule type="cellIs" dxfId="105" priority="40" operator="between">
      <formula>0.8</formula>
      <formula>1</formula>
    </cfRule>
  </conditionalFormatting>
  <conditionalFormatting sqref="B80:H86">
    <cfRule type="cellIs" dxfId="104" priority="31" operator="between">
      <formula>0.1</formula>
      <formula>0.2</formula>
    </cfRule>
    <cfRule type="cellIs" dxfId="103" priority="32" operator="between">
      <formula>0.2</formula>
      <formula>0.4</formula>
    </cfRule>
    <cfRule type="cellIs" dxfId="102" priority="33" operator="between">
      <formula>0.4</formula>
      <formula>0.6</formula>
    </cfRule>
    <cfRule type="cellIs" dxfId="101" priority="34" operator="between">
      <formula>0.6</formula>
      <formula>0.8</formula>
    </cfRule>
    <cfRule type="cellIs" dxfId="100" priority="35" operator="between">
      <formula>0.8</formula>
      <formula>1</formula>
    </cfRule>
  </conditionalFormatting>
  <conditionalFormatting sqref="B91:H97">
    <cfRule type="cellIs" dxfId="99" priority="26" operator="between">
      <formula>0.1</formula>
      <formula>0.2</formula>
    </cfRule>
    <cfRule type="cellIs" dxfId="98" priority="27" operator="between">
      <formula>0.2</formula>
      <formula>0.4</formula>
    </cfRule>
    <cfRule type="cellIs" dxfId="97" priority="28" operator="between">
      <formula>0.4</formula>
      <formula>0.6</formula>
    </cfRule>
    <cfRule type="cellIs" dxfId="96" priority="29" operator="between">
      <formula>0.6</formula>
      <formula>0.8</formula>
    </cfRule>
    <cfRule type="cellIs" dxfId="95" priority="30" operator="between">
      <formula>0.8</formula>
      <formula>1</formula>
    </cfRule>
  </conditionalFormatting>
  <conditionalFormatting sqref="B102:H108">
    <cfRule type="cellIs" dxfId="94" priority="21" operator="between">
      <formula>0.1</formula>
      <formula>0.2</formula>
    </cfRule>
    <cfRule type="cellIs" dxfId="93" priority="22" operator="between">
      <formula>0.2</formula>
      <formula>0.4</formula>
    </cfRule>
    <cfRule type="cellIs" dxfId="92" priority="23" operator="between">
      <formula>0.4</formula>
      <formula>0.6</formula>
    </cfRule>
    <cfRule type="cellIs" dxfId="91" priority="24" operator="between">
      <formula>0.6</formula>
      <formula>0.8</formula>
    </cfRule>
    <cfRule type="cellIs" dxfId="90" priority="25" operator="between">
      <formula>0.8</formula>
      <formula>1</formula>
    </cfRule>
  </conditionalFormatting>
  <conditionalFormatting sqref="B113:H119">
    <cfRule type="cellIs" dxfId="89" priority="16" operator="between">
      <formula>0.1</formula>
      <formula>0.2</formula>
    </cfRule>
    <cfRule type="cellIs" dxfId="88" priority="17" operator="between">
      <formula>0.2</formula>
      <formula>0.4</formula>
    </cfRule>
    <cfRule type="cellIs" dxfId="87" priority="18" operator="between">
      <formula>0.4</formula>
      <formula>0.6</formula>
    </cfRule>
    <cfRule type="cellIs" dxfId="86" priority="19" operator="between">
      <formula>0.6</formula>
      <formula>0.8</formula>
    </cfRule>
    <cfRule type="cellIs" dxfId="85" priority="20" operator="between">
      <formula>0.8</formula>
      <formula>1</formula>
    </cfRule>
  </conditionalFormatting>
  <conditionalFormatting sqref="B124:H130">
    <cfRule type="cellIs" dxfId="84" priority="11" operator="between">
      <formula>0.1</formula>
      <formula>0.2</formula>
    </cfRule>
    <cfRule type="cellIs" dxfId="83" priority="12" operator="between">
      <formula>0.2</formula>
      <formula>0.4</formula>
    </cfRule>
    <cfRule type="cellIs" dxfId="82" priority="13" operator="between">
      <formula>0.4</formula>
      <formula>0.6</formula>
    </cfRule>
    <cfRule type="cellIs" dxfId="81" priority="14" operator="between">
      <formula>0.6</formula>
      <formula>0.8</formula>
    </cfRule>
    <cfRule type="cellIs" dxfId="80" priority="15" operator="between">
      <formula>0.8</formula>
      <formula>1</formula>
    </cfRule>
  </conditionalFormatting>
  <conditionalFormatting sqref="B135:H141">
    <cfRule type="cellIs" dxfId="79" priority="6" operator="between">
      <formula>0.1</formula>
      <formula>0.2</formula>
    </cfRule>
    <cfRule type="cellIs" dxfId="78" priority="7" operator="between">
      <formula>0.2</formula>
      <formula>0.4</formula>
    </cfRule>
    <cfRule type="cellIs" dxfId="77" priority="8" operator="between">
      <formula>0.4</formula>
      <formula>0.6</formula>
    </cfRule>
    <cfRule type="cellIs" dxfId="76" priority="9" operator="between">
      <formula>0.6</formula>
      <formula>0.8</formula>
    </cfRule>
    <cfRule type="cellIs" dxfId="75" priority="10" operator="between">
      <formula>0.8</formula>
      <formula>1</formula>
    </cfRule>
  </conditionalFormatting>
  <conditionalFormatting sqref="B146:H152">
    <cfRule type="cellIs" dxfId="74" priority="1" operator="between">
      <formula>0.1</formula>
      <formula>0.2</formula>
    </cfRule>
    <cfRule type="cellIs" dxfId="73" priority="2" operator="between">
      <formula>0.2</formula>
      <formula>0.4</formula>
    </cfRule>
    <cfRule type="cellIs" dxfId="72" priority="3" operator="between">
      <formula>0.4</formula>
      <formula>0.6</formula>
    </cfRule>
    <cfRule type="cellIs" dxfId="71" priority="4" operator="between">
      <formula>0.6</formula>
      <formula>0.8</formula>
    </cfRule>
    <cfRule type="cellIs" dxfId="70" priority="5" operator="between">
      <formula>0.8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B138-C37C-4C0C-8D2C-00B0E4CD9A1B}">
  <dimension ref="A1:M82"/>
  <sheetViews>
    <sheetView workbookViewId="0">
      <selection activeCell="F6" sqref="F6"/>
    </sheetView>
  </sheetViews>
  <sheetFormatPr defaultRowHeight="14.4" x14ac:dyDescent="0.3"/>
  <cols>
    <col min="1" max="1" width="27.21875" customWidth="1"/>
    <col min="2" max="2" width="14.6640625" customWidth="1"/>
    <col min="3" max="3" width="11.6640625" customWidth="1"/>
    <col min="4" max="4" width="11.33203125" bestFit="1" customWidth="1"/>
    <col min="7" max="8" width="14.6640625" bestFit="1" customWidth="1"/>
    <col min="9" max="9" width="12.6640625" customWidth="1"/>
    <col min="10" max="10" width="16.33203125" customWidth="1"/>
    <col min="11" max="11" width="12.33203125" customWidth="1"/>
    <col min="13" max="13" width="14.33203125" customWidth="1"/>
  </cols>
  <sheetData>
    <row r="1" spans="1:13" x14ac:dyDescent="0.3">
      <c r="A1" s="42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43.2" customHeight="1" x14ac:dyDescent="0.3">
      <c r="A2" s="3"/>
      <c r="B2" s="3" t="s">
        <v>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17</v>
      </c>
      <c r="I2" s="4" t="s">
        <v>4</v>
      </c>
      <c r="J2" s="4" t="s">
        <v>11</v>
      </c>
      <c r="K2" s="4" t="s">
        <v>5</v>
      </c>
      <c r="L2" s="4" t="s">
        <v>2</v>
      </c>
      <c r="M2" s="4" t="s">
        <v>12</v>
      </c>
    </row>
    <row r="3" spans="1:13" x14ac:dyDescent="0.3">
      <c r="A3" t="s">
        <v>6</v>
      </c>
      <c r="B3" s="1">
        <v>0</v>
      </c>
      <c r="C3" s="1">
        <v>0.63506101444363505</v>
      </c>
      <c r="D3" s="1">
        <v>0.63506101444363505</v>
      </c>
      <c r="E3" s="1">
        <v>0.63506101444363505</v>
      </c>
      <c r="F3" s="1">
        <v>0.63506101444363505</v>
      </c>
      <c r="G3" s="1">
        <v>0.63506101444363505</v>
      </c>
      <c r="H3" s="1">
        <v>0.63506101444363505</v>
      </c>
      <c r="I3" s="1">
        <f t="shared" ref="I3:I8" si="0">AVERAGE(C3:H3)</f>
        <v>0.63506101444363505</v>
      </c>
      <c r="J3" s="1"/>
      <c r="K3" s="1">
        <f>MAX(C3-H3, D3-H3,E3-H3,F3-H3, G3 - H3)</f>
        <v>0</v>
      </c>
      <c r="L3" s="1"/>
    </row>
    <row r="4" spans="1:13" x14ac:dyDescent="0.3">
      <c r="A4" t="s">
        <v>7</v>
      </c>
      <c r="B4" s="1">
        <v>0</v>
      </c>
      <c r="C4" s="1">
        <v>0.16261002170600999</v>
      </c>
      <c r="D4" s="1">
        <v>0.52669121138751496</v>
      </c>
      <c r="E4" s="1">
        <v>0.52669121138751496</v>
      </c>
      <c r="F4" s="1">
        <v>0.52669121138751496</v>
      </c>
      <c r="G4" s="1">
        <v>0.52669121138751496</v>
      </c>
      <c r="H4" s="1">
        <v>0.52669121138751496</v>
      </c>
      <c r="I4" s="1">
        <f t="shared" si="0"/>
        <v>0.46601101310726417</v>
      </c>
      <c r="J4" s="1"/>
      <c r="K4" s="1">
        <f t="shared" ref="K4:K5" si="1">MAX(C4-H4, D4-H4,E4-H4,F4-H4, G4 - H4)</f>
        <v>0</v>
      </c>
      <c r="L4" s="1">
        <f>C4</f>
        <v>0.16261002170600999</v>
      </c>
    </row>
    <row r="5" spans="1:13" x14ac:dyDescent="0.3">
      <c r="A5" t="s">
        <v>8</v>
      </c>
      <c r="B5" s="1">
        <v>0.68414774164557401</v>
      </c>
      <c r="C5" s="1">
        <v>0.439590120377639</v>
      </c>
      <c r="D5" s="1">
        <v>0.46977181049684602</v>
      </c>
      <c r="E5" s="1">
        <v>0.77389784405628803</v>
      </c>
      <c r="F5" s="1">
        <v>0.77389784405628803</v>
      </c>
      <c r="G5" s="1">
        <v>0.77389784405628803</v>
      </c>
      <c r="H5" s="1">
        <v>0.77389784405628803</v>
      </c>
      <c r="I5" s="1">
        <f t="shared" si="0"/>
        <v>0.66749221784993951</v>
      </c>
      <c r="J5" s="1"/>
      <c r="K5" s="1">
        <f t="shared" si="1"/>
        <v>0</v>
      </c>
      <c r="L5" s="1">
        <f>AVERAGE(C5,D5)</f>
        <v>0.45468096543724251</v>
      </c>
    </row>
    <row r="6" spans="1:13" x14ac:dyDescent="0.3">
      <c r="A6" t="s">
        <v>9</v>
      </c>
      <c r="B6" s="1">
        <v>0</v>
      </c>
      <c r="C6" s="1">
        <v>1.9809007341488401E-3</v>
      </c>
      <c r="D6" s="1">
        <v>1.86816219381095E-3</v>
      </c>
      <c r="E6" s="1">
        <v>0</v>
      </c>
      <c r="F6" s="1">
        <v>0</v>
      </c>
      <c r="G6" s="1">
        <v>0</v>
      </c>
      <c r="H6" s="1">
        <v>0</v>
      </c>
      <c r="I6" s="1">
        <f t="shared" si="0"/>
        <v>6.4151048799329831E-4</v>
      </c>
      <c r="J6" s="1"/>
      <c r="K6" s="1">
        <f>MAX(C6-H6, D6-H6,E6-H6,F6-H6, G6 - H6)</f>
        <v>1.9809007341488401E-3</v>
      </c>
      <c r="L6" s="1">
        <f>AVERAGE(C6, D6, E6)</f>
        <v>1.2830209759865966E-3</v>
      </c>
    </row>
    <row r="7" spans="1:13" x14ac:dyDescent="0.3">
      <c r="A7" t="s">
        <v>10</v>
      </c>
      <c r="B7" s="1">
        <v>0</v>
      </c>
      <c r="C7" s="1">
        <v>1.2072987117183701E-2</v>
      </c>
      <c r="D7" s="1">
        <v>4.2311725895463802E-2</v>
      </c>
      <c r="E7" s="1">
        <v>4.7487154612705702E-4</v>
      </c>
      <c r="F7" s="1">
        <v>0</v>
      </c>
      <c r="G7" s="1">
        <v>0.57176219051082899</v>
      </c>
      <c r="H7" s="1">
        <v>0.57176219051082899</v>
      </c>
      <c r="I7" s="1">
        <f t="shared" si="0"/>
        <v>0.19973066093007211</v>
      </c>
      <c r="J7" s="1"/>
      <c r="K7" s="1">
        <f>MAX(C7-H7, D7-H7,E7-H7,F7-H7, G7 - H7)</f>
        <v>0</v>
      </c>
      <c r="L7" s="1">
        <f>AVERAGE(C7, D7, E7,F7)</f>
        <v>1.3714896139693639E-2</v>
      </c>
    </row>
    <row r="8" spans="1:13" x14ac:dyDescent="0.3">
      <c r="A8" t="s">
        <v>17</v>
      </c>
      <c r="B8" s="1">
        <v>0</v>
      </c>
      <c r="C8" s="1">
        <v>3.2793386946044202E-2</v>
      </c>
      <c r="D8" s="1">
        <v>5.9277288240385398E-3</v>
      </c>
      <c r="E8" s="1">
        <v>0</v>
      </c>
      <c r="F8" s="1">
        <v>0</v>
      </c>
      <c r="G8" s="1">
        <v>2.0445141169754301E-2</v>
      </c>
      <c r="H8" s="1">
        <v>0.40144884524246</v>
      </c>
      <c r="I8" s="1">
        <f t="shared" si="0"/>
        <v>7.6769183697049506E-2</v>
      </c>
      <c r="J8" s="1"/>
      <c r="K8" s="1"/>
      <c r="L8" s="1">
        <f>AVERAGE(C8, D8, E8,F8, G8)</f>
        <v>1.1833251387967408E-2</v>
      </c>
    </row>
    <row r="9" spans="1:13" x14ac:dyDescent="0.3">
      <c r="A9" t="s">
        <v>1</v>
      </c>
      <c r="B9" s="1">
        <v>0.97939257323741902</v>
      </c>
      <c r="C9" s="1">
        <v>0.97939257323741902</v>
      </c>
      <c r="D9" s="1">
        <v>0.97939257323741902</v>
      </c>
      <c r="E9" s="1">
        <v>0.97939257323741902</v>
      </c>
      <c r="F9" s="1">
        <v>0.97939257323741902</v>
      </c>
      <c r="G9" s="1">
        <v>0.97939257323741902</v>
      </c>
      <c r="H9" s="1">
        <v>0.97939257323741902</v>
      </c>
      <c r="M9" s="2">
        <f>(B9-H9)/B9</f>
        <v>0</v>
      </c>
    </row>
    <row r="10" spans="1:13" x14ac:dyDescent="0.3">
      <c r="A10" s="4" t="s">
        <v>3</v>
      </c>
      <c r="B10" s="2"/>
      <c r="C10" s="2"/>
      <c r="D10" s="2"/>
      <c r="E10" s="2"/>
      <c r="F10" s="2"/>
      <c r="G10" s="2"/>
      <c r="H10" s="2"/>
      <c r="I10" s="2">
        <f>AVERAGE(I3:I8)</f>
        <v>0.34095093341932564</v>
      </c>
      <c r="J10" s="2">
        <f>AVERAGE(H3:H8)</f>
        <v>0.48481018427345446</v>
      </c>
      <c r="K10" s="2">
        <f>AVERAGE(K3:K7)</f>
        <v>3.9618014682976801E-4</v>
      </c>
      <c r="L10" s="2">
        <f>AVERAGE(L3:L9)</f>
        <v>0.12882443112938005</v>
      </c>
      <c r="M10" s="5"/>
    </row>
    <row r="12" spans="1:13" x14ac:dyDescent="0.3">
      <c r="A12" s="42" t="s">
        <v>28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s="3" customFormat="1" ht="28.8" x14ac:dyDescent="0.3">
      <c r="B13" s="3" t="s">
        <v>0</v>
      </c>
      <c r="C13" s="3" t="s">
        <v>17</v>
      </c>
      <c r="D13" s="3" t="s">
        <v>10</v>
      </c>
      <c r="E13" s="3" t="s">
        <v>9</v>
      </c>
      <c r="F13" s="3" t="s">
        <v>8</v>
      </c>
      <c r="G13" s="3" t="s">
        <v>7</v>
      </c>
      <c r="H13" s="3" t="s">
        <v>6</v>
      </c>
      <c r="I13" s="4" t="s">
        <v>4</v>
      </c>
      <c r="J13" s="4" t="s">
        <v>11</v>
      </c>
      <c r="K13" s="4" t="s">
        <v>5</v>
      </c>
      <c r="L13" s="4" t="s">
        <v>2</v>
      </c>
      <c r="M13" s="4" t="s">
        <v>12</v>
      </c>
    </row>
    <row r="14" spans="1:13" x14ac:dyDescent="0.3">
      <c r="A14" t="s">
        <v>17</v>
      </c>
      <c r="B14" s="1">
        <v>0</v>
      </c>
      <c r="C14" s="1">
        <v>0.343370737197498</v>
      </c>
      <c r="D14" s="1">
        <v>0.343370737197498</v>
      </c>
      <c r="E14" s="1">
        <v>0.343370737197498</v>
      </c>
      <c r="F14" s="1">
        <v>0.343370737197498</v>
      </c>
      <c r="G14" s="1">
        <v>0.343370737197498</v>
      </c>
      <c r="H14" s="1">
        <v>0.343370737197498</v>
      </c>
      <c r="I14" s="1">
        <f>AVERAGE(C14:H14)</f>
        <v>0.34337073719749794</v>
      </c>
      <c r="J14" s="1"/>
      <c r="K14" s="1">
        <f>MAX(C14-H14, D14-H14,E14-H14,F14-H14, G14 - H14)</f>
        <v>0</v>
      </c>
      <c r="L14" s="1"/>
    </row>
    <row r="15" spans="1:13" x14ac:dyDescent="0.3">
      <c r="A15" t="s">
        <v>10</v>
      </c>
      <c r="B15" s="1">
        <v>0</v>
      </c>
      <c r="C15" s="1">
        <v>0.184762454501954</v>
      </c>
      <c r="D15" s="1">
        <v>0.57173769051829904</v>
      </c>
      <c r="E15" s="1">
        <v>0.57173769051829904</v>
      </c>
      <c r="F15" s="1">
        <v>0.57173769051829904</v>
      </c>
      <c r="G15" s="1">
        <v>0.57173769051829904</v>
      </c>
      <c r="H15" s="1">
        <v>0.57173769051829904</v>
      </c>
      <c r="I15" s="1">
        <f t="shared" ref="I15:I19" si="2">AVERAGE(C15:H15)</f>
        <v>0.50724181784890832</v>
      </c>
      <c r="J15" s="1"/>
      <c r="K15" s="1">
        <f t="shared" ref="K15:K16" si="3">MAX(C15-H15, D15-H15,E15-H15,F15-H15, G15 - H15)</f>
        <v>0</v>
      </c>
      <c r="L15" s="1">
        <f>C15</f>
        <v>0.184762454501954</v>
      </c>
    </row>
    <row r="16" spans="1:13" x14ac:dyDescent="0.3">
      <c r="A16" t="s">
        <v>9</v>
      </c>
      <c r="B16" s="1">
        <v>0</v>
      </c>
      <c r="C16" s="1">
        <v>7.9007466447365005E-3</v>
      </c>
      <c r="D16" s="1">
        <v>1.64953765185297E-3</v>
      </c>
      <c r="E16" s="1">
        <v>0</v>
      </c>
      <c r="F16" s="1">
        <v>0</v>
      </c>
      <c r="G16" s="1">
        <v>0</v>
      </c>
      <c r="H16" s="1">
        <v>0</v>
      </c>
      <c r="I16" s="1">
        <f t="shared" si="2"/>
        <v>1.5917140494315786E-3</v>
      </c>
      <c r="J16" s="1"/>
      <c r="K16" s="1">
        <f t="shared" si="3"/>
        <v>7.9007466447365005E-3</v>
      </c>
      <c r="L16" s="1">
        <f>AVERAGE(C16,D16)</f>
        <v>4.7751421482947354E-3</v>
      </c>
    </row>
    <row r="17" spans="1:13" x14ac:dyDescent="0.3">
      <c r="A17" t="s">
        <v>8</v>
      </c>
      <c r="B17" s="1">
        <v>0.68415092180172599</v>
      </c>
      <c r="C17" s="1">
        <v>0.69543701782822598</v>
      </c>
      <c r="D17" s="1">
        <v>0.53924040123820305</v>
      </c>
      <c r="E17" s="1">
        <v>0</v>
      </c>
      <c r="F17" s="1">
        <v>0.77391088008880604</v>
      </c>
      <c r="G17" s="1">
        <v>0.77391088008880604</v>
      </c>
      <c r="H17" s="1">
        <v>0.77391088008880604</v>
      </c>
      <c r="I17" s="1">
        <f t="shared" si="2"/>
        <v>0.5927350098888079</v>
      </c>
      <c r="J17" s="1"/>
      <c r="K17" s="1">
        <f>MAX(C17-H17, D17-H17,E17-H17,F17-H17, G17 - H17)</f>
        <v>0</v>
      </c>
      <c r="L17" s="1">
        <f>AVERAGE(C17, D17, E17)</f>
        <v>0.41155913968880969</v>
      </c>
    </row>
    <row r="18" spans="1:13" x14ac:dyDescent="0.3">
      <c r="A18" t="s">
        <v>7</v>
      </c>
      <c r="B18" s="1">
        <v>0</v>
      </c>
      <c r="C18" s="1">
        <v>6.7597678309539305E-2</v>
      </c>
      <c r="D18" s="1">
        <v>7.95889068297886E-2</v>
      </c>
      <c r="E18" s="1">
        <v>0</v>
      </c>
      <c r="F18" s="1">
        <v>4.2309497560684802E-4</v>
      </c>
      <c r="G18" s="1">
        <v>0.52716974479456702</v>
      </c>
      <c r="H18" s="1">
        <v>0.52716974479456702</v>
      </c>
      <c r="I18" s="1">
        <f t="shared" si="2"/>
        <v>0.20032486161734483</v>
      </c>
      <c r="J18" s="1"/>
      <c r="K18" s="1">
        <f>MAX(C18-H18, D18-H18,E18-H18,F18-H18, G18 - H18)</f>
        <v>0</v>
      </c>
      <c r="L18" s="1">
        <f>AVERAGE(C18, D18, E18,F18)</f>
        <v>3.6902420028733694E-2</v>
      </c>
    </row>
    <row r="19" spans="1:13" x14ac:dyDescent="0.3">
      <c r="A19" t="s">
        <v>6</v>
      </c>
      <c r="B19" s="1">
        <v>0</v>
      </c>
      <c r="C19" s="1">
        <v>4.1008949308888903E-2</v>
      </c>
      <c r="D19" s="1">
        <v>1.18709480496666E-3</v>
      </c>
      <c r="E19" s="1">
        <v>0</v>
      </c>
      <c r="F19" s="1">
        <v>2.4045023868287199E-4</v>
      </c>
      <c r="G19" s="1">
        <v>7.7705680014332701E-2</v>
      </c>
      <c r="H19" s="1">
        <v>0.65431452915072397</v>
      </c>
      <c r="I19" s="1">
        <f t="shared" si="2"/>
        <v>0.12907611725293253</v>
      </c>
      <c r="J19" s="1"/>
      <c r="K19" s="1"/>
      <c r="L19" s="1">
        <f>AVERAGE(C19, D19, E19,F19, G19)</f>
        <v>2.4028434873374228E-2</v>
      </c>
    </row>
    <row r="20" spans="1:13" x14ac:dyDescent="0.3">
      <c r="A20" t="s">
        <v>1</v>
      </c>
      <c r="B20" s="1">
        <v>0.97939328849315599</v>
      </c>
      <c r="C20" s="1">
        <v>0.97939328849315599</v>
      </c>
      <c r="D20" s="1">
        <v>0.97939328849315599</v>
      </c>
      <c r="E20" s="1">
        <v>0.97939328849315599</v>
      </c>
      <c r="F20" s="1">
        <v>0.97939328849315599</v>
      </c>
      <c r="G20" s="1">
        <v>0.97939328849315599</v>
      </c>
      <c r="H20" s="1">
        <v>0.97939328849315599</v>
      </c>
      <c r="M20" s="2">
        <f>(B20-H20)/B20</f>
        <v>0</v>
      </c>
    </row>
    <row r="21" spans="1:13" x14ac:dyDescent="0.3">
      <c r="A21" s="4" t="s">
        <v>3</v>
      </c>
      <c r="B21" s="2"/>
      <c r="C21" s="2"/>
      <c r="D21" s="2"/>
      <c r="E21" s="2"/>
      <c r="F21" s="2"/>
      <c r="G21" s="2"/>
      <c r="H21" s="2"/>
      <c r="I21" s="2">
        <f>AVERAGE(I14:I19)</f>
        <v>0.29572337630915385</v>
      </c>
      <c r="J21" s="2">
        <f>AVERAGE(H14:H19)</f>
        <v>0.47841726362498238</v>
      </c>
      <c r="K21" s="2">
        <f>AVERAGE(K14:K18)</f>
        <v>1.5801493289473E-3</v>
      </c>
      <c r="L21" s="2">
        <f>AVERAGE(L14:L20)</f>
        <v>0.13240551824823327</v>
      </c>
      <c r="M21" s="5"/>
    </row>
    <row r="23" spans="1:13" hidden="1" x14ac:dyDescent="0.3">
      <c r="A23" s="42" t="s">
        <v>30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s="3" customFormat="1" ht="28.8" hidden="1" x14ac:dyDescent="0.3">
      <c r="B24" s="3" t="s">
        <v>0</v>
      </c>
      <c r="C24" s="3" t="s">
        <v>6</v>
      </c>
      <c r="D24" s="3" t="s">
        <v>7</v>
      </c>
      <c r="E24" s="3" t="s">
        <v>8</v>
      </c>
      <c r="F24" s="3" t="s">
        <v>9</v>
      </c>
      <c r="G24" s="3" t="s">
        <v>10</v>
      </c>
      <c r="H24" s="3" t="s">
        <v>17</v>
      </c>
      <c r="I24" s="4" t="s">
        <v>4</v>
      </c>
      <c r="J24" s="4" t="s">
        <v>11</v>
      </c>
      <c r="K24" s="4" t="s">
        <v>5</v>
      </c>
      <c r="L24" s="4" t="s">
        <v>2</v>
      </c>
      <c r="M24" s="4" t="s">
        <v>12</v>
      </c>
    </row>
    <row r="25" spans="1:13" hidden="1" x14ac:dyDescent="0.3">
      <c r="A25" t="s">
        <v>6</v>
      </c>
      <c r="B25" s="1">
        <v>0</v>
      </c>
      <c r="C25" s="1">
        <v>0.515140801668167</v>
      </c>
      <c r="D25" s="1">
        <v>0.515140801668167</v>
      </c>
      <c r="E25" s="1">
        <v>0.515140801668167</v>
      </c>
      <c r="F25" s="1">
        <v>0.515140801668167</v>
      </c>
      <c r="G25" s="1">
        <v>0.515140801668167</v>
      </c>
      <c r="H25" s="1">
        <v>0.515140801668167</v>
      </c>
      <c r="I25" s="1">
        <f t="shared" ref="I25:I30" si="4">AVERAGE(C25:H25)</f>
        <v>0.515140801668167</v>
      </c>
      <c r="J25" s="1"/>
      <c r="K25" s="1">
        <f>MAX(C25-H25, D25-H25,E25-H25,F25-H25, G25 - H25)</f>
        <v>0</v>
      </c>
      <c r="L25" s="1"/>
    </row>
    <row r="26" spans="1:13" hidden="1" x14ac:dyDescent="0.3">
      <c r="A26" t="s">
        <v>7</v>
      </c>
      <c r="B26" s="1">
        <v>0</v>
      </c>
      <c r="C26" s="1">
        <v>0.27258847890576898</v>
      </c>
      <c r="D26" s="1">
        <v>0.51557316631078698</v>
      </c>
      <c r="E26" s="1">
        <v>0.51557316631078698</v>
      </c>
      <c r="F26" s="1">
        <v>0.51557316631078698</v>
      </c>
      <c r="G26" s="1">
        <v>0.51557316631078698</v>
      </c>
      <c r="H26" s="1">
        <v>0.51557316631078698</v>
      </c>
      <c r="I26" s="1">
        <f t="shared" si="4"/>
        <v>0.47507571840995072</v>
      </c>
      <c r="J26" s="1"/>
      <c r="K26" s="1">
        <f t="shared" ref="K26:K27" si="5">MAX(C26-H26, D26-H26,E26-H26,F26-H26, G26 - H26)</f>
        <v>0</v>
      </c>
      <c r="L26" s="1">
        <f>C26</f>
        <v>0.27258847890576898</v>
      </c>
    </row>
    <row r="27" spans="1:13" hidden="1" x14ac:dyDescent="0.3">
      <c r="A27" t="s">
        <v>8</v>
      </c>
      <c r="B27" s="1">
        <v>0.68415092180172599</v>
      </c>
      <c r="C27" s="1">
        <v>0.60113062957922603</v>
      </c>
      <c r="D27" s="1">
        <v>0.488010354340076</v>
      </c>
      <c r="E27" s="1">
        <v>0.74793828775485305</v>
      </c>
      <c r="F27" s="1">
        <v>0.74793828775485305</v>
      </c>
      <c r="G27" s="1">
        <v>0.74793828775485305</v>
      </c>
      <c r="H27" s="1">
        <v>0.74793828775485305</v>
      </c>
      <c r="I27" s="1">
        <f t="shared" si="4"/>
        <v>0.6801490224897857</v>
      </c>
      <c r="J27" s="1"/>
      <c r="K27" s="1">
        <f t="shared" si="5"/>
        <v>0</v>
      </c>
      <c r="L27" s="1">
        <f>AVERAGE(C27,D27)</f>
        <v>0.54457049195965102</v>
      </c>
    </row>
    <row r="28" spans="1:13" hidden="1" x14ac:dyDescent="0.3">
      <c r="A28" t="s">
        <v>9</v>
      </c>
      <c r="B28" s="1">
        <v>0</v>
      </c>
      <c r="C28" s="1">
        <v>6.4408849284518501E-3</v>
      </c>
      <c r="D28" s="1">
        <v>2.25092518303426E-3</v>
      </c>
      <c r="E28" s="1">
        <v>0</v>
      </c>
      <c r="F28" s="1">
        <v>0</v>
      </c>
      <c r="G28" s="1">
        <v>0</v>
      </c>
      <c r="H28" s="1">
        <v>0</v>
      </c>
      <c r="I28" s="1">
        <f t="shared" si="4"/>
        <v>1.4486350185810182E-3</v>
      </c>
      <c r="J28" s="1"/>
      <c r="K28" s="1">
        <f>MAX(C28-H28, D28-H28,E28-H28,F28-H28, G28 - H28)</f>
        <v>6.4408849284518501E-3</v>
      </c>
      <c r="L28" s="1">
        <f>AVERAGE(C28, D28, E28)</f>
        <v>2.8972700371620364E-3</v>
      </c>
    </row>
    <row r="29" spans="1:13" hidden="1" x14ac:dyDescent="0.3">
      <c r="A29" t="s">
        <v>10</v>
      </c>
      <c r="B29" s="1">
        <v>0</v>
      </c>
      <c r="C29" s="1">
        <v>2.0512974261994998E-2</v>
      </c>
      <c r="D29" s="1">
        <v>7.7093912069358297E-2</v>
      </c>
      <c r="E29" s="1">
        <v>2.6136283122468702E-4</v>
      </c>
      <c r="F29" s="1">
        <v>0</v>
      </c>
      <c r="G29" s="1">
        <v>0.52578663950165105</v>
      </c>
      <c r="H29" s="1">
        <v>0.52578663950165105</v>
      </c>
      <c r="I29" s="1">
        <f t="shared" si="4"/>
        <v>0.19157358802764668</v>
      </c>
      <c r="J29" s="1"/>
      <c r="K29" s="1">
        <f>MAX(C29-H29, D29-H29,E29-H29,F29-H29, G29 - H29)</f>
        <v>0</v>
      </c>
      <c r="L29" s="1">
        <f>AVERAGE(C29, D29, E29,F29)</f>
        <v>2.4467062290644496E-2</v>
      </c>
    </row>
    <row r="30" spans="1:13" hidden="1" x14ac:dyDescent="0.3">
      <c r="A30" t="s">
        <v>17</v>
      </c>
      <c r="B30" s="1">
        <v>0</v>
      </c>
      <c r="C30" s="1">
        <v>4.0059703305208402E-2</v>
      </c>
      <c r="D30" s="1">
        <v>7.8539773523213299E-3</v>
      </c>
      <c r="E30" s="1">
        <v>0</v>
      </c>
      <c r="F30" s="1">
        <v>0</v>
      </c>
      <c r="G30" s="1">
        <v>3.3063638339323603E-2</v>
      </c>
      <c r="H30" s="1">
        <v>0.11821566762713</v>
      </c>
      <c r="I30" s="1">
        <f t="shared" si="4"/>
        <v>3.3198831103997219E-2</v>
      </c>
      <c r="J30" s="1"/>
      <c r="K30" s="1"/>
      <c r="L30" s="1">
        <f>AVERAGE(C30, D30, E30,F30, G30)</f>
        <v>1.6195463799370667E-2</v>
      </c>
    </row>
    <row r="31" spans="1:13" hidden="1" x14ac:dyDescent="0.3">
      <c r="A31" t="s">
        <v>1</v>
      </c>
      <c r="B31" s="1">
        <v>0.97939328849315599</v>
      </c>
      <c r="C31" s="1">
        <v>0.97939328849315599</v>
      </c>
      <c r="D31" s="1">
        <v>0.97939328849315599</v>
      </c>
      <c r="E31" s="1">
        <v>0.97939328849315599</v>
      </c>
      <c r="F31" s="1">
        <v>0.97939328849315599</v>
      </c>
      <c r="G31" s="1">
        <v>0.97939328849315599</v>
      </c>
      <c r="H31" s="1">
        <v>0.97939328849315599</v>
      </c>
      <c r="M31" s="2">
        <f>(B31-H31)/B31</f>
        <v>0</v>
      </c>
    </row>
    <row r="32" spans="1:13" hidden="1" x14ac:dyDescent="0.3">
      <c r="A32" s="4" t="s">
        <v>3</v>
      </c>
      <c r="B32" s="2"/>
      <c r="C32" s="2"/>
      <c r="D32" s="2"/>
      <c r="E32" s="2"/>
      <c r="F32" s="2"/>
      <c r="G32" s="2"/>
      <c r="H32" s="2"/>
      <c r="I32" s="2">
        <f>AVERAGE(I25:I30)</f>
        <v>0.31609776611968804</v>
      </c>
      <c r="J32" s="2">
        <f>AVERAGE(H25:H30)</f>
        <v>0.40377576047709801</v>
      </c>
      <c r="K32" s="2">
        <f>AVERAGE(K25:K29)</f>
        <v>1.2881769856903701E-3</v>
      </c>
      <c r="L32" s="2">
        <f>AVERAGE(L25:L31)</f>
        <v>0.17214375339851945</v>
      </c>
      <c r="M32" s="5"/>
    </row>
    <row r="34" spans="1:13" x14ac:dyDescent="0.3">
      <c r="A34" s="42" t="s">
        <v>47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ht="28.8" x14ac:dyDescent="0.3">
      <c r="B35" t="s">
        <v>0</v>
      </c>
      <c r="C35" s="3" t="s">
        <v>9</v>
      </c>
      <c r="I35" s="4" t="s">
        <v>4</v>
      </c>
      <c r="J35" s="4" t="s">
        <v>11</v>
      </c>
      <c r="K35" s="4" t="s">
        <v>5</v>
      </c>
      <c r="L35" s="4" t="s">
        <v>2</v>
      </c>
      <c r="M35" s="4" t="s">
        <v>12</v>
      </c>
    </row>
    <row r="36" spans="1:13" x14ac:dyDescent="0.3">
      <c r="A36" t="s">
        <v>9</v>
      </c>
      <c r="B36" s="1">
        <v>0</v>
      </c>
      <c r="C36" s="1">
        <v>0.83858853578567505</v>
      </c>
      <c r="I36" s="1">
        <f>AVERAGE(C36)</f>
        <v>0.83858853578567505</v>
      </c>
      <c r="J36" s="1"/>
      <c r="K36" s="1"/>
      <c r="L36" s="1"/>
    </row>
    <row r="37" spans="1:13" x14ac:dyDescent="0.3">
      <c r="A37" t="s">
        <v>1</v>
      </c>
      <c r="B37" s="1">
        <v>0.97939328849315599</v>
      </c>
      <c r="C37" s="1">
        <v>0.97939328849315599</v>
      </c>
      <c r="M37" s="2">
        <f>(B37-C37)/B37</f>
        <v>0</v>
      </c>
    </row>
    <row r="38" spans="1:13" x14ac:dyDescent="0.3">
      <c r="I38" s="2">
        <f>AVERAGE(I36:I36)</f>
        <v>0.83858853578567505</v>
      </c>
      <c r="J38" s="2">
        <f>AVERAGE(C36)</f>
        <v>0.83858853578567505</v>
      </c>
      <c r="K38" s="2"/>
      <c r="L38" s="2"/>
      <c r="M38" s="5"/>
    </row>
    <row r="40" spans="1:13" x14ac:dyDescent="0.3">
      <c r="A40" s="42" t="s">
        <v>30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28.8" x14ac:dyDescent="0.3">
      <c r="A41" s="3"/>
      <c r="B41" s="3" t="s">
        <v>0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17</v>
      </c>
      <c r="I41" s="4" t="s">
        <v>4</v>
      </c>
      <c r="J41" s="4" t="s">
        <v>11</v>
      </c>
      <c r="K41" s="4" t="s">
        <v>5</v>
      </c>
      <c r="L41" s="4" t="s">
        <v>2</v>
      </c>
      <c r="M41" s="4" t="s">
        <v>12</v>
      </c>
    </row>
    <row r="42" spans="1:13" x14ac:dyDescent="0.3">
      <c r="A42" t="s">
        <v>6</v>
      </c>
      <c r="B42" s="1">
        <v>0</v>
      </c>
      <c r="C42" s="1">
        <v>0.515140801668167</v>
      </c>
      <c r="D42" s="1">
        <v>0.515140801668167</v>
      </c>
      <c r="E42" s="1">
        <v>0.515140801668167</v>
      </c>
      <c r="F42" s="1">
        <v>0.515140801668167</v>
      </c>
      <c r="G42" s="1">
        <v>0.515140801668167</v>
      </c>
      <c r="H42" s="1">
        <v>0.515140801668167</v>
      </c>
      <c r="I42" s="1">
        <f t="shared" ref="I42:I47" si="6">AVERAGE(C42:H42)</f>
        <v>0.515140801668167</v>
      </c>
      <c r="J42" s="1"/>
      <c r="K42" s="1">
        <f>MAX(C42-H42, D42-H42,E42-H42,F42-H42, G42 - H42)</f>
        <v>0</v>
      </c>
      <c r="L42" s="1"/>
    </row>
    <row r="43" spans="1:13" x14ac:dyDescent="0.3">
      <c r="A43" t="s">
        <v>7</v>
      </c>
      <c r="B43" s="1">
        <v>0</v>
      </c>
      <c r="C43" s="1">
        <v>0.27258847890576898</v>
      </c>
      <c r="D43" s="1">
        <v>0.51557316631078698</v>
      </c>
      <c r="E43" s="1">
        <v>0.51557316631078698</v>
      </c>
      <c r="F43" s="1">
        <v>0.51557316631078698</v>
      </c>
      <c r="G43" s="1">
        <v>0.51557316631078698</v>
      </c>
      <c r="H43" s="1">
        <v>0.51557316631078698</v>
      </c>
      <c r="I43" s="1">
        <f t="shared" si="6"/>
        <v>0.47507571840995072</v>
      </c>
      <c r="J43" s="1"/>
      <c r="K43" s="1">
        <f t="shared" ref="K43:K44" si="7">MAX(C43-H43, D43-H43,E43-H43,F43-H43, G43 - H43)</f>
        <v>0</v>
      </c>
      <c r="L43" s="1">
        <f>C43</f>
        <v>0.27258847890576898</v>
      </c>
    </row>
    <row r="44" spans="1:13" x14ac:dyDescent="0.3">
      <c r="A44" t="s">
        <v>8</v>
      </c>
      <c r="B44" s="1">
        <v>0.68415092180172599</v>
      </c>
      <c r="C44" s="1">
        <v>0.60113062957922603</v>
      </c>
      <c r="D44" s="1">
        <v>0.488010354340076</v>
      </c>
      <c r="E44" s="1">
        <v>0.74793828775485305</v>
      </c>
      <c r="F44" s="1">
        <v>0.74793828775485305</v>
      </c>
      <c r="G44" s="1">
        <v>0.74793828775485305</v>
      </c>
      <c r="H44" s="1">
        <v>0.74793828775485305</v>
      </c>
      <c r="I44" s="1">
        <f t="shared" si="6"/>
        <v>0.6801490224897857</v>
      </c>
      <c r="J44" s="1"/>
      <c r="K44" s="1">
        <f t="shared" si="7"/>
        <v>0</v>
      </c>
      <c r="L44" s="1">
        <f>AVERAGE(C44,D44)</f>
        <v>0.54457049195965102</v>
      </c>
    </row>
    <row r="45" spans="1:13" x14ac:dyDescent="0.3">
      <c r="A45" t="s">
        <v>9</v>
      </c>
      <c r="B45" s="1">
        <v>0</v>
      </c>
      <c r="C45" s="1">
        <v>6.4408849284518501E-3</v>
      </c>
      <c r="D45" s="1">
        <v>2.25092518303426E-3</v>
      </c>
      <c r="E45" s="1">
        <v>0</v>
      </c>
      <c r="F45" s="1">
        <v>0</v>
      </c>
      <c r="G45" s="1">
        <v>0</v>
      </c>
      <c r="H45" s="1">
        <v>0</v>
      </c>
      <c r="I45" s="1">
        <f t="shared" si="6"/>
        <v>1.4486350185810182E-3</v>
      </c>
      <c r="J45" s="1"/>
      <c r="K45" s="1">
        <f>MAX(C45-H45, D45-H45,E45-H45,F45-H45, G45 - H45)</f>
        <v>6.4408849284518501E-3</v>
      </c>
      <c r="L45" s="1">
        <f>AVERAGE(C45, D45, E45)</f>
        <v>2.8972700371620364E-3</v>
      </c>
    </row>
    <row r="46" spans="1:13" x14ac:dyDescent="0.3">
      <c r="A46" t="s">
        <v>10</v>
      </c>
      <c r="B46" s="1">
        <v>0</v>
      </c>
      <c r="C46" s="1">
        <v>2.0512974261994998E-2</v>
      </c>
      <c r="D46" s="1">
        <v>7.7093912069358297E-2</v>
      </c>
      <c r="E46" s="1">
        <v>2.6136283122468702E-4</v>
      </c>
      <c r="F46" s="1">
        <v>0</v>
      </c>
      <c r="G46" s="1">
        <v>0.52578663950165105</v>
      </c>
      <c r="H46" s="1">
        <v>0.52578663950165105</v>
      </c>
      <c r="I46" s="1">
        <f t="shared" si="6"/>
        <v>0.19157358802764668</v>
      </c>
      <c r="J46" s="1"/>
      <c r="K46" s="1">
        <f>MAX(C46-H46, D46-H46,E46-H46,F46-H46, G46 - H46)</f>
        <v>0</v>
      </c>
      <c r="L46" s="1">
        <f>AVERAGE(C46, D46, E46,F46)</f>
        <v>2.4467062290644496E-2</v>
      </c>
    </row>
    <row r="47" spans="1:13" x14ac:dyDescent="0.3">
      <c r="A47" t="s">
        <v>17</v>
      </c>
      <c r="B47" s="1">
        <v>0</v>
      </c>
      <c r="C47" s="1">
        <v>4.0059703305208402E-2</v>
      </c>
      <c r="D47" s="1">
        <v>7.8539773523213299E-3</v>
      </c>
      <c r="E47" s="1">
        <v>0</v>
      </c>
      <c r="F47" s="1">
        <v>0</v>
      </c>
      <c r="G47" s="1">
        <v>3.3063638339323603E-2</v>
      </c>
      <c r="H47" s="1">
        <v>0.11821566762713</v>
      </c>
      <c r="I47" s="1">
        <f t="shared" si="6"/>
        <v>3.3198831103997219E-2</v>
      </c>
      <c r="J47" s="1"/>
      <c r="K47" s="1"/>
      <c r="L47" s="1">
        <f>AVERAGE(C47, D47, E47,F47, G47)</f>
        <v>1.6195463799370667E-2</v>
      </c>
    </row>
    <row r="48" spans="1:13" x14ac:dyDescent="0.3">
      <c r="A48" t="s">
        <v>1</v>
      </c>
      <c r="B48" s="1">
        <v>0.97939328849315599</v>
      </c>
      <c r="C48" s="1">
        <v>0.97939328849315599</v>
      </c>
      <c r="D48" s="1">
        <v>0.97939328849315599</v>
      </c>
      <c r="E48" s="1">
        <v>0.97939328849315599</v>
      </c>
      <c r="F48" s="1">
        <v>0.97939328849315599</v>
      </c>
      <c r="G48" s="1">
        <v>0.97939328849315599</v>
      </c>
      <c r="H48" s="1">
        <v>0.97939328849315599</v>
      </c>
      <c r="M48" s="2">
        <f>(B48-H48)/B48</f>
        <v>0</v>
      </c>
    </row>
    <row r="49" spans="1:13" x14ac:dyDescent="0.3">
      <c r="A49" s="4" t="s">
        <v>3</v>
      </c>
      <c r="B49" s="2"/>
      <c r="C49" s="2"/>
      <c r="D49" s="2"/>
      <c r="E49" s="2"/>
      <c r="F49" s="2"/>
      <c r="G49" s="2"/>
      <c r="H49" s="2"/>
      <c r="I49" s="2">
        <f>AVERAGE(I42:I47)</f>
        <v>0.31609776611968804</v>
      </c>
      <c r="J49" s="2">
        <f>AVERAGE(H42:H47)</f>
        <v>0.40377576047709801</v>
      </c>
      <c r="K49" s="2">
        <f>AVERAGE(K42:K46)</f>
        <v>1.2881769856903701E-3</v>
      </c>
      <c r="L49" s="2">
        <f>AVERAGE(L42:L48)</f>
        <v>0.17214375339851945</v>
      </c>
      <c r="M49" s="5"/>
    </row>
    <row r="51" spans="1:13" x14ac:dyDescent="0.3">
      <c r="A51" s="42" t="s">
        <v>57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ht="28.8" x14ac:dyDescent="0.3">
      <c r="A52" s="3"/>
      <c r="B52" s="3" t="s">
        <v>0</v>
      </c>
      <c r="C52" s="3" t="s">
        <v>6</v>
      </c>
      <c r="D52" s="3" t="s">
        <v>7</v>
      </c>
      <c r="E52" s="3" t="s">
        <v>8</v>
      </c>
      <c r="F52" s="3" t="s">
        <v>9</v>
      </c>
      <c r="G52" s="3" t="s">
        <v>10</v>
      </c>
      <c r="H52" s="3" t="s">
        <v>17</v>
      </c>
      <c r="I52" s="4" t="s">
        <v>4</v>
      </c>
      <c r="J52" s="4" t="s">
        <v>11</v>
      </c>
      <c r="K52" s="4" t="s">
        <v>5</v>
      </c>
      <c r="L52" s="4" t="s">
        <v>2</v>
      </c>
      <c r="M52" s="4" t="s">
        <v>12</v>
      </c>
    </row>
    <row r="53" spans="1:13" x14ac:dyDescent="0.3">
      <c r="A53" t="s">
        <v>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f t="shared" ref="I53:I58" si="8">AVERAGE(C53:H53)</f>
        <v>0</v>
      </c>
      <c r="J53" s="1"/>
      <c r="K53" s="1">
        <f>MAX(C53-H53, D53-H53,E53-H53,F53-H53, G53 - H53)</f>
        <v>0</v>
      </c>
      <c r="L53" s="1"/>
    </row>
    <row r="54" spans="1:13" x14ac:dyDescent="0.3">
      <c r="A54" t="s">
        <v>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f t="shared" si="8"/>
        <v>0</v>
      </c>
      <c r="J54" s="1"/>
      <c r="K54" s="1">
        <f t="shared" ref="K54:K55" si="9">MAX(C54-H54, D54-H54,E54-H54,F54-H54, G54 - H54)</f>
        <v>0</v>
      </c>
      <c r="L54" s="1">
        <f>C54</f>
        <v>0</v>
      </c>
    </row>
    <row r="55" spans="1:13" x14ac:dyDescent="0.3">
      <c r="A55" t="s">
        <v>8</v>
      </c>
      <c r="B55" s="1">
        <v>0.68415092180172599</v>
      </c>
      <c r="C55" s="1">
        <v>0.68648034210006303</v>
      </c>
      <c r="D55" s="1">
        <v>0.68537940457463198</v>
      </c>
      <c r="E55" s="1">
        <v>0.68822244927287102</v>
      </c>
      <c r="F55" s="1">
        <v>0.68822244927287102</v>
      </c>
      <c r="G55" s="1">
        <v>0.68822244927287102</v>
      </c>
      <c r="H55" s="1">
        <v>0.68822244927287102</v>
      </c>
      <c r="I55" s="1">
        <f t="shared" si="8"/>
        <v>0.68745825729436316</v>
      </c>
      <c r="J55" s="1"/>
      <c r="K55" s="1">
        <f t="shared" si="9"/>
        <v>0</v>
      </c>
      <c r="L55" s="1">
        <f>AVERAGE(C55,D55)</f>
        <v>0.68592987333734756</v>
      </c>
    </row>
    <row r="56" spans="1:13" x14ac:dyDescent="0.3">
      <c r="A56" t="s">
        <v>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f t="shared" si="8"/>
        <v>0</v>
      </c>
      <c r="J56" s="1"/>
      <c r="K56" s="1">
        <f>MAX(C56-H56, D56-H56,E56-H56,F56-H56, G56 - H56)</f>
        <v>0</v>
      </c>
      <c r="L56" s="1">
        <f>AVERAGE(C56, D56, E56)</f>
        <v>0</v>
      </c>
    </row>
    <row r="57" spans="1:13" x14ac:dyDescent="0.3">
      <c r="A57" t="s">
        <v>10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f t="shared" si="8"/>
        <v>0</v>
      </c>
      <c r="J57" s="1"/>
      <c r="K57" s="1">
        <f>MAX(C57-H57, D57-H57,E57-H57,F57-H57, G57 - H57)</f>
        <v>0</v>
      </c>
      <c r="L57" s="1">
        <f>AVERAGE(C57, D57, E57,F57)</f>
        <v>0</v>
      </c>
    </row>
    <row r="58" spans="1:13" x14ac:dyDescent="0.3">
      <c r="A58" t="s">
        <v>17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f t="shared" si="8"/>
        <v>0</v>
      </c>
      <c r="J58" s="1"/>
      <c r="K58" s="1"/>
      <c r="L58" s="1">
        <f>AVERAGE(C58, D58, E58,F58, G58)</f>
        <v>0</v>
      </c>
    </row>
    <row r="59" spans="1:13" x14ac:dyDescent="0.3">
      <c r="A59" t="s">
        <v>1</v>
      </c>
      <c r="B59" s="1">
        <v>0.97939328849315599</v>
      </c>
      <c r="C59" s="1">
        <v>0.97939328849315599</v>
      </c>
      <c r="D59" s="1">
        <v>0.97939328849315599</v>
      </c>
      <c r="E59" s="1">
        <v>0.97939328849315599</v>
      </c>
      <c r="F59" s="1">
        <v>0.97939328849315599</v>
      </c>
      <c r="G59" s="1">
        <v>0.97939328849315599</v>
      </c>
      <c r="H59" s="1">
        <v>0.97939328849315599</v>
      </c>
      <c r="M59" s="2">
        <f>(B59-H59)/B59</f>
        <v>0</v>
      </c>
    </row>
    <row r="60" spans="1:13" x14ac:dyDescent="0.3">
      <c r="A60" s="4" t="s">
        <v>3</v>
      </c>
      <c r="B60" s="2"/>
      <c r="C60" s="2"/>
      <c r="D60" s="2"/>
      <c r="E60" s="2"/>
      <c r="F60" s="2"/>
      <c r="G60" s="2"/>
      <c r="H60" s="2"/>
      <c r="I60" s="2">
        <f>AVERAGE(I53:I58)</f>
        <v>0.11457637621572719</v>
      </c>
      <c r="J60" s="2">
        <f>AVERAGE(H53:H58)</f>
        <v>0.11470374154547851</v>
      </c>
      <c r="K60" s="2">
        <f>AVERAGE(K53:K57)</f>
        <v>0</v>
      </c>
      <c r="L60" s="2">
        <f>AVERAGE(L53:L59)</f>
        <v>0.13718597466746951</v>
      </c>
      <c r="M60" s="5"/>
    </row>
    <row r="62" spans="1:13" x14ac:dyDescent="0.3">
      <c r="A62" s="42" t="s">
        <v>58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ht="28.8" x14ac:dyDescent="0.3">
      <c r="A63" s="3"/>
      <c r="B63" s="3" t="s">
        <v>0</v>
      </c>
      <c r="C63" s="3" t="s">
        <v>6</v>
      </c>
      <c r="D63" s="3" t="s">
        <v>7</v>
      </c>
      <c r="E63" s="3" t="s">
        <v>8</v>
      </c>
      <c r="F63" s="3" t="s">
        <v>9</v>
      </c>
      <c r="G63" s="3" t="s">
        <v>10</v>
      </c>
      <c r="H63" s="3" t="s">
        <v>17</v>
      </c>
      <c r="I63" s="4" t="s">
        <v>4</v>
      </c>
      <c r="J63" s="4" t="s">
        <v>11</v>
      </c>
      <c r="K63" s="4" t="s">
        <v>5</v>
      </c>
      <c r="L63" s="4" t="s">
        <v>2</v>
      </c>
      <c r="M63" s="4" t="s">
        <v>12</v>
      </c>
    </row>
    <row r="64" spans="1:13" x14ac:dyDescent="0.3">
      <c r="A64" t="s">
        <v>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f t="shared" ref="I64:I69" si="10">AVERAGE(C64:H64)</f>
        <v>0</v>
      </c>
      <c r="J64" s="1"/>
      <c r="K64" s="1">
        <f>MAX(C64-H64, D64-H64,E64-H64,F64-H64, G64 - H64)</f>
        <v>0</v>
      </c>
      <c r="L64" s="1"/>
    </row>
    <row r="65" spans="1:13" x14ac:dyDescent="0.3">
      <c r="A65" t="s">
        <v>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f t="shared" si="10"/>
        <v>0</v>
      </c>
      <c r="J65" s="1"/>
      <c r="K65" s="1">
        <f t="shared" ref="K65:K66" si="11">MAX(C65-H65, D65-H65,E65-H65,F65-H65, G65 - H65)</f>
        <v>0</v>
      </c>
      <c r="L65" s="1">
        <f>C65</f>
        <v>0</v>
      </c>
    </row>
    <row r="66" spans="1:13" x14ac:dyDescent="0.3">
      <c r="A66" t="s">
        <v>8</v>
      </c>
      <c r="B66" s="1">
        <v>0.68415092180172599</v>
      </c>
      <c r="C66" s="1">
        <v>0.684823889285326</v>
      </c>
      <c r="D66" s="1">
        <v>0.68462587272127395</v>
      </c>
      <c r="E66" s="1">
        <v>0.68512483313679695</v>
      </c>
      <c r="F66" s="1">
        <v>0.68512483313679695</v>
      </c>
      <c r="G66" s="1">
        <v>0.68512483313679695</v>
      </c>
      <c r="H66" s="1">
        <v>0.68512483313679695</v>
      </c>
      <c r="I66" s="1">
        <f t="shared" si="10"/>
        <v>0.68499151575896455</v>
      </c>
      <c r="J66" s="1"/>
      <c r="K66" s="1">
        <f t="shared" si="11"/>
        <v>0</v>
      </c>
      <c r="L66" s="1">
        <f>AVERAGE(C66,D66)</f>
        <v>0.68472488100329998</v>
      </c>
    </row>
    <row r="67" spans="1:13" x14ac:dyDescent="0.3">
      <c r="A67" t="s">
        <v>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f t="shared" si="10"/>
        <v>0</v>
      </c>
      <c r="J67" s="1"/>
      <c r="K67" s="1">
        <f>MAX(C67-H67, D67-H67,E67-H67,F67-H67, G67 - H67)</f>
        <v>0</v>
      </c>
      <c r="L67" s="1">
        <f>AVERAGE(C67, D67, E67)</f>
        <v>0</v>
      </c>
    </row>
    <row r="68" spans="1:13" x14ac:dyDescent="0.3">
      <c r="A68" t="s">
        <v>10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f t="shared" si="10"/>
        <v>0</v>
      </c>
      <c r="J68" s="1"/>
      <c r="K68" s="1">
        <f>MAX(C68-H68, D68-H68,E68-H68,F68-H68, G68 - H68)</f>
        <v>0</v>
      </c>
      <c r="L68" s="1">
        <f>AVERAGE(C68, D68, E68,F68)</f>
        <v>0</v>
      </c>
    </row>
    <row r="69" spans="1:13" x14ac:dyDescent="0.3">
      <c r="A69" t="s">
        <v>17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f t="shared" si="10"/>
        <v>0</v>
      </c>
      <c r="J69" s="1"/>
      <c r="K69" s="1"/>
      <c r="L69" s="1">
        <f>AVERAGE(C69, D69, E69,F69, G69)</f>
        <v>0</v>
      </c>
    </row>
    <row r="70" spans="1:13" x14ac:dyDescent="0.3">
      <c r="A70" t="s">
        <v>1</v>
      </c>
      <c r="B70" s="1">
        <v>0.97939328849315599</v>
      </c>
      <c r="C70" s="1">
        <v>0.97939328849315599</v>
      </c>
      <c r="D70" s="1">
        <v>0.97939328849315599</v>
      </c>
      <c r="E70" s="1">
        <v>0.97939328849315599</v>
      </c>
      <c r="F70" s="1">
        <v>0.97939328849315599</v>
      </c>
      <c r="G70" s="1">
        <v>0.97939328849315599</v>
      </c>
      <c r="H70" s="1">
        <v>0.97939328849315599</v>
      </c>
      <c r="M70" s="2">
        <f>(B70-H70)/B70</f>
        <v>0</v>
      </c>
    </row>
    <row r="71" spans="1:13" x14ac:dyDescent="0.3">
      <c r="A71" s="4" t="s">
        <v>3</v>
      </c>
      <c r="B71" s="2"/>
      <c r="C71" s="2"/>
      <c r="D71" s="2"/>
      <c r="E71" s="2"/>
      <c r="F71" s="2"/>
      <c r="G71" s="2"/>
      <c r="H71" s="2"/>
      <c r="I71" s="2">
        <f>AVERAGE(I64:I69)</f>
        <v>0.11416525262649409</v>
      </c>
      <c r="J71" s="2">
        <f>AVERAGE(H64:H69)</f>
        <v>0.11418747218946616</v>
      </c>
      <c r="K71" s="2">
        <f>AVERAGE(K64:K68)</f>
        <v>0</v>
      </c>
      <c r="L71" s="2">
        <f>AVERAGE(L64:L70)</f>
        <v>0.13694497620065998</v>
      </c>
      <c r="M71" s="5"/>
    </row>
    <row r="73" spans="1:13" x14ac:dyDescent="0.3">
      <c r="A73" s="42" t="s">
        <v>59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1:13" ht="28.8" x14ac:dyDescent="0.3">
      <c r="A74" s="3"/>
      <c r="B74" s="3" t="s">
        <v>0</v>
      </c>
      <c r="C74" s="3" t="s">
        <v>6</v>
      </c>
      <c r="D74" s="3" t="s">
        <v>7</v>
      </c>
      <c r="E74" s="3" t="s">
        <v>8</v>
      </c>
      <c r="F74" s="3" t="s">
        <v>9</v>
      </c>
      <c r="G74" s="3" t="s">
        <v>10</v>
      </c>
      <c r="H74" s="3" t="s">
        <v>17</v>
      </c>
      <c r="I74" s="4" t="s">
        <v>4</v>
      </c>
      <c r="J74" s="4" t="s">
        <v>11</v>
      </c>
      <c r="K74" s="4" t="s">
        <v>5</v>
      </c>
      <c r="L74" s="4" t="s">
        <v>2</v>
      </c>
      <c r="M74" s="4" t="s">
        <v>12</v>
      </c>
    </row>
    <row r="75" spans="1:13" x14ac:dyDescent="0.3">
      <c r="A75" t="s">
        <v>6</v>
      </c>
      <c r="B75" s="1">
        <v>0</v>
      </c>
      <c r="C75" s="1">
        <v>2.7195887499450002E-4</v>
      </c>
      <c r="D75" s="1">
        <v>2.7195887499450002E-4</v>
      </c>
      <c r="E75" s="1">
        <v>2.7195887499450002E-4</v>
      </c>
      <c r="F75" s="1">
        <v>2.7195887499450002E-4</v>
      </c>
      <c r="G75" s="1">
        <v>2.7195887499450002E-4</v>
      </c>
      <c r="H75" s="1">
        <v>2.7195887499450002E-4</v>
      </c>
      <c r="I75" s="1">
        <f t="shared" ref="I75:I80" si="12">AVERAGE(C75:H75)</f>
        <v>2.7195887499450007E-4</v>
      </c>
      <c r="J75" s="1"/>
      <c r="K75" s="1">
        <f>MAX(C75-H75, D75-H75,E75-H75,F75-H75, G75 - H75)</f>
        <v>0</v>
      </c>
      <c r="L75" s="1"/>
    </row>
    <row r="76" spans="1:13" x14ac:dyDescent="0.3">
      <c r="A76" t="s">
        <v>7</v>
      </c>
      <c r="B76" s="1">
        <v>0</v>
      </c>
      <c r="C76" s="1">
        <v>1.26155585652062E-5</v>
      </c>
      <c r="D76" s="1">
        <v>1.01212523683595E-5</v>
      </c>
      <c r="E76" s="1">
        <v>1.01212523683595E-5</v>
      </c>
      <c r="F76" s="1">
        <v>1.01212523683595E-5</v>
      </c>
      <c r="G76" s="1">
        <v>1.01212523683595E-5</v>
      </c>
      <c r="H76" s="1">
        <v>1.01212523683595E-5</v>
      </c>
      <c r="I76" s="1">
        <f t="shared" si="12"/>
        <v>1.053697006783395E-5</v>
      </c>
      <c r="J76" s="1"/>
      <c r="K76" s="1">
        <f t="shared" ref="K76:K77" si="13">MAX(C76-H76, D76-H76,E76-H76,F76-H76, G76 - H76)</f>
        <v>2.4943061968467001E-6</v>
      </c>
      <c r="L76" s="1">
        <f>C76</f>
        <v>1.26155585652062E-5</v>
      </c>
    </row>
    <row r="77" spans="1:13" x14ac:dyDescent="0.3">
      <c r="A77" t="s">
        <v>8</v>
      </c>
      <c r="B77" s="1">
        <v>0.68415092180172599</v>
      </c>
      <c r="C77" s="1">
        <v>0.68919205789764704</v>
      </c>
      <c r="D77" s="1">
        <v>0.68830876300732202</v>
      </c>
      <c r="E77" s="1">
        <v>0.69293353209892905</v>
      </c>
      <c r="F77" s="1">
        <v>0.69293353209892905</v>
      </c>
      <c r="G77" s="1">
        <v>0.69293353209892905</v>
      </c>
      <c r="H77" s="1">
        <v>0.69293353209892905</v>
      </c>
      <c r="I77" s="1">
        <f t="shared" si="12"/>
        <v>0.6915391582167808</v>
      </c>
      <c r="J77" s="1"/>
      <c r="K77" s="1">
        <f t="shared" si="13"/>
        <v>0</v>
      </c>
      <c r="L77" s="1">
        <f>AVERAGE(C77,D77)</f>
        <v>0.68875041045248453</v>
      </c>
    </row>
    <row r="78" spans="1:13" x14ac:dyDescent="0.3">
      <c r="A78" t="s">
        <v>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f t="shared" si="12"/>
        <v>0</v>
      </c>
      <c r="J78" s="1"/>
      <c r="K78" s="1">
        <f>MAX(C78-H78, D78-H78,E78-H78,F78-H78, G78 - H78)</f>
        <v>0</v>
      </c>
      <c r="L78" s="1">
        <f>AVERAGE(C78, D78, E78)</f>
        <v>0</v>
      </c>
    </row>
    <row r="79" spans="1:13" x14ac:dyDescent="0.3">
      <c r="A79" t="s">
        <v>10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f t="shared" si="12"/>
        <v>0</v>
      </c>
      <c r="J79" s="1"/>
      <c r="K79" s="1">
        <f>MAX(C79-H79, D79-H79,E79-H79,F79-H79, G79 - H79)</f>
        <v>0</v>
      </c>
      <c r="L79" s="1">
        <f>AVERAGE(C79, D79, E79,F79)</f>
        <v>0</v>
      </c>
    </row>
    <row r="80" spans="1:13" x14ac:dyDescent="0.3">
      <c r="A80" t="s">
        <v>17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f t="shared" si="12"/>
        <v>0</v>
      </c>
      <c r="J80" s="1"/>
      <c r="K80" s="1"/>
      <c r="L80" s="1">
        <f>AVERAGE(C80, D80, E80,F80, G80)</f>
        <v>0</v>
      </c>
    </row>
    <row r="81" spans="1:13" x14ac:dyDescent="0.3">
      <c r="A81" t="s">
        <v>1</v>
      </c>
      <c r="B81" s="1">
        <v>0.97939328849315599</v>
      </c>
      <c r="C81" s="1">
        <v>0.97939328849315599</v>
      </c>
      <c r="D81" s="1">
        <v>0.97939328849315599</v>
      </c>
      <c r="E81" s="1">
        <v>0.97939328849315599</v>
      </c>
      <c r="F81" s="1">
        <v>0.97939328849315599</v>
      </c>
      <c r="G81" s="1">
        <v>0.97939328849315599</v>
      </c>
      <c r="H81" s="1">
        <v>0.97939328849315599</v>
      </c>
      <c r="M81" s="2">
        <f>(B81-H81)/B81</f>
        <v>0</v>
      </c>
    </row>
    <row r="82" spans="1:13" x14ac:dyDescent="0.3">
      <c r="A82" s="4" t="s">
        <v>3</v>
      </c>
      <c r="B82" s="2"/>
      <c r="C82" s="2"/>
      <c r="D82" s="2"/>
      <c r="E82" s="2"/>
      <c r="F82" s="2"/>
      <c r="G82" s="2"/>
      <c r="H82" s="2"/>
      <c r="I82" s="2">
        <f>AVERAGE(I75:I80)</f>
        <v>0.11530360901030719</v>
      </c>
      <c r="J82" s="2">
        <f>AVERAGE(H75:H80)</f>
        <v>0.11553593537104866</v>
      </c>
      <c r="K82" s="2">
        <f>AVERAGE(K75:K79)</f>
        <v>4.9886123936934004E-7</v>
      </c>
      <c r="L82" s="2">
        <f>AVERAGE(L75:L81)</f>
        <v>0.13775260520220994</v>
      </c>
      <c r="M82" s="5"/>
    </row>
  </sheetData>
  <mergeCells count="8">
    <mergeCell ref="A51:M51"/>
    <mergeCell ref="A62:M62"/>
    <mergeCell ref="A73:M73"/>
    <mergeCell ref="A1:M1"/>
    <mergeCell ref="A12:M12"/>
    <mergeCell ref="A23:M23"/>
    <mergeCell ref="A34:M34"/>
    <mergeCell ref="A40:M40"/>
  </mergeCells>
  <conditionalFormatting sqref="B36:C37">
    <cfRule type="cellIs" dxfId="69" priority="21" operator="between">
      <formula>0.1</formula>
      <formula>0.2</formula>
    </cfRule>
    <cfRule type="cellIs" dxfId="68" priority="22" operator="between">
      <formula>0.2</formula>
      <formula>0.4</formula>
    </cfRule>
    <cfRule type="cellIs" dxfId="67" priority="23" operator="between">
      <formula>0.4</formula>
      <formula>0.6</formula>
    </cfRule>
    <cfRule type="cellIs" dxfId="66" priority="24" operator="between">
      <formula>0.6</formula>
      <formula>0.8</formula>
    </cfRule>
    <cfRule type="cellIs" dxfId="65" priority="25" operator="between">
      <formula>0.8</formula>
      <formula>1</formula>
    </cfRule>
  </conditionalFormatting>
  <conditionalFormatting sqref="B3:H9">
    <cfRule type="cellIs" dxfId="64" priority="36" operator="between">
      <formula>0.1</formula>
      <formula>0.2</formula>
    </cfRule>
    <cfRule type="cellIs" dxfId="63" priority="37" operator="between">
      <formula>0.2</formula>
      <formula>0.4</formula>
    </cfRule>
    <cfRule type="cellIs" dxfId="62" priority="38" operator="between">
      <formula>0.4</formula>
      <formula>0.6</formula>
    </cfRule>
    <cfRule type="cellIs" dxfId="61" priority="39" operator="between">
      <formula>0.6</formula>
      <formula>0.8</formula>
    </cfRule>
    <cfRule type="cellIs" dxfId="60" priority="40" operator="between">
      <formula>0.8</formula>
      <formula>1</formula>
    </cfRule>
  </conditionalFormatting>
  <conditionalFormatting sqref="B14:H20">
    <cfRule type="cellIs" dxfId="59" priority="31" operator="between">
      <formula>0.1</formula>
      <formula>0.2</formula>
    </cfRule>
    <cfRule type="cellIs" dxfId="58" priority="32" operator="between">
      <formula>0.2</formula>
      <formula>0.4</formula>
    </cfRule>
    <cfRule type="cellIs" dxfId="57" priority="33" operator="between">
      <formula>0.4</formula>
      <formula>0.6</formula>
    </cfRule>
    <cfRule type="cellIs" dxfId="56" priority="34" operator="between">
      <formula>0.6</formula>
      <formula>0.8</formula>
    </cfRule>
    <cfRule type="cellIs" dxfId="55" priority="35" operator="between">
      <formula>0.8</formula>
      <formula>1</formula>
    </cfRule>
  </conditionalFormatting>
  <conditionalFormatting sqref="B25:H31">
    <cfRule type="cellIs" dxfId="54" priority="26" operator="between">
      <formula>0.1</formula>
      <formula>0.2</formula>
    </cfRule>
    <cfRule type="cellIs" dxfId="53" priority="27" operator="between">
      <formula>0.2</formula>
      <formula>0.4</formula>
    </cfRule>
    <cfRule type="cellIs" dxfId="52" priority="28" operator="between">
      <formula>0.4</formula>
      <formula>0.6</formula>
    </cfRule>
    <cfRule type="cellIs" dxfId="51" priority="29" operator="between">
      <formula>0.6</formula>
      <formula>0.8</formula>
    </cfRule>
    <cfRule type="cellIs" dxfId="50" priority="30" operator="between">
      <formula>0.8</formula>
      <formula>1</formula>
    </cfRule>
  </conditionalFormatting>
  <conditionalFormatting sqref="B42:H48">
    <cfRule type="cellIs" dxfId="49" priority="16" operator="between">
      <formula>0.1</formula>
      <formula>0.2</formula>
    </cfRule>
    <cfRule type="cellIs" dxfId="48" priority="17" operator="between">
      <formula>0.2</formula>
      <formula>0.4</formula>
    </cfRule>
    <cfRule type="cellIs" dxfId="47" priority="18" operator="between">
      <formula>0.4</formula>
      <formula>0.6</formula>
    </cfRule>
    <cfRule type="cellIs" dxfId="46" priority="19" operator="between">
      <formula>0.6</formula>
      <formula>0.8</formula>
    </cfRule>
    <cfRule type="cellIs" dxfId="45" priority="20" operator="between">
      <formula>0.8</formula>
      <formula>1</formula>
    </cfRule>
  </conditionalFormatting>
  <conditionalFormatting sqref="B53:H59">
    <cfRule type="cellIs" dxfId="44" priority="11" operator="between">
      <formula>0.1</formula>
      <formula>0.2</formula>
    </cfRule>
    <cfRule type="cellIs" dxfId="43" priority="12" operator="between">
      <formula>0.2</formula>
      <formula>0.4</formula>
    </cfRule>
    <cfRule type="cellIs" dxfId="42" priority="13" operator="between">
      <formula>0.4</formula>
      <formula>0.6</formula>
    </cfRule>
    <cfRule type="cellIs" dxfId="41" priority="14" operator="between">
      <formula>0.6</formula>
      <formula>0.8</formula>
    </cfRule>
    <cfRule type="cellIs" dxfId="40" priority="15" operator="between">
      <formula>0.8</formula>
      <formula>1</formula>
    </cfRule>
  </conditionalFormatting>
  <conditionalFormatting sqref="B64:H70">
    <cfRule type="cellIs" dxfId="39" priority="6" operator="between">
      <formula>0.1</formula>
      <formula>0.2</formula>
    </cfRule>
    <cfRule type="cellIs" dxfId="38" priority="7" operator="between">
      <formula>0.2</formula>
      <formula>0.4</formula>
    </cfRule>
    <cfRule type="cellIs" dxfId="37" priority="8" operator="between">
      <formula>0.4</formula>
      <formula>0.6</formula>
    </cfRule>
    <cfRule type="cellIs" dxfId="36" priority="9" operator="between">
      <formula>0.6</formula>
      <formula>0.8</formula>
    </cfRule>
    <cfRule type="cellIs" dxfId="35" priority="10" operator="between">
      <formula>0.8</formula>
      <formula>1</formula>
    </cfRule>
  </conditionalFormatting>
  <conditionalFormatting sqref="B75:H81">
    <cfRule type="cellIs" dxfId="34" priority="1" operator="between">
      <formula>0.1</formula>
      <formula>0.2</formula>
    </cfRule>
    <cfRule type="cellIs" dxfId="33" priority="2" operator="between">
      <formula>0.2</formula>
      <formula>0.4</formula>
    </cfRule>
    <cfRule type="cellIs" dxfId="32" priority="3" operator="between">
      <formula>0.4</formula>
      <formula>0.6</formula>
    </cfRule>
    <cfRule type="cellIs" dxfId="31" priority="4" operator="between">
      <formula>0.6</formula>
      <formula>0.8</formula>
    </cfRule>
    <cfRule type="cellIs" dxfId="30" priority="5" operator="between">
      <formula>0.8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E4BA-5CD9-46D6-8108-C67D211837E5}">
  <dimension ref="A1:M10"/>
  <sheetViews>
    <sheetView workbookViewId="0">
      <selection activeCell="H7" sqref="H7"/>
    </sheetView>
  </sheetViews>
  <sheetFormatPr defaultRowHeight="14.4" x14ac:dyDescent="0.3"/>
  <cols>
    <col min="1" max="1" width="15.33203125" customWidth="1"/>
    <col min="2" max="2" width="15.6640625" customWidth="1"/>
    <col min="3" max="3" width="14.109375" customWidth="1"/>
    <col min="4" max="4" width="18.109375" customWidth="1"/>
    <col min="5" max="5" width="17.6640625" customWidth="1"/>
    <col min="6" max="6" width="12.88671875" customWidth="1"/>
    <col min="7" max="7" width="13.44140625" customWidth="1"/>
    <col min="8" max="8" width="17.33203125" customWidth="1"/>
    <col min="9" max="9" width="13.109375" customWidth="1"/>
    <col min="10" max="10" width="15.44140625" customWidth="1"/>
    <col min="11" max="11" width="12.5546875" customWidth="1"/>
    <col min="12" max="12" width="10.44140625" customWidth="1"/>
    <col min="13" max="13" width="15.109375" customWidth="1"/>
  </cols>
  <sheetData>
    <row r="1" spans="1:13" x14ac:dyDescent="0.3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8.8" x14ac:dyDescent="0.3">
      <c r="A2" s="3"/>
      <c r="B2" s="3" t="s">
        <v>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17</v>
      </c>
      <c r="I2" s="4" t="s">
        <v>4</v>
      </c>
      <c r="J2" s="4" t="s">
        <v>11</v>
      </c>
      <c r="K2" s="4" t="s">
        <v>5</v>
      </c>
      <c r="L2" s="4" t="s">
        <v>2</v>
      </c>
      <c r="M2" s="4" t="s">
        <v>12</v>
      </c>
    </row>
    <row r="3" spans="1:13" x14ac:dyDescent="0.3">
      <c r="A3" t="s">
        <v>6</v>
      </c>
      <c r="B3" s="1">
        <v>0</v>
      </c>
      <c r="C3" s="1">
        <v>0.70678514863053898</v>
      </c>
      <c r="D3" s="1">
        <v>0.36379013862460802</v>
      </c>
      <c r="E3" s="1">
        <v>0.108821127718935</v>
      </c>
      <c r="F3" s="1">
        <v>5.5336699905031601E-2</v>
      </c>
      <c r="G3" s="1">
        <v>0.16441540187224701</v>
      </c>
      <c r="H3" s="1">
        <v>1.65225720685763E-2</v>
      </c>
      <c r="I3" s="1">
        <f t="shared" ref="I3:I8" si="0">AVERAGE(C3:H3)</f>
        <v>0.23594518146998947</v>
      </c>
      <c r="J3" s="1"/>
      <c r="K3" s="1">
        <f>MAX(C3-H3, D3-H3,E3-H3,F3-H3, G3 - H3)</f>
        <v>0.69026257656196266</v>
      </c>
      <c r="L3" s="1"/>
    </row>
    <row r="4" spans="1:13" x14ac:dyDescent="0.3">
      <c r="A4" t="s">
        <v>7</v>
      </c>
      <c r="B4" s="1">
        <v>0</v>
      </c>
      <c r="C4" s="1">
        <v>0.101640093023888</v>
      </c>
      <c r="D4" s="1">
        <v>0.54947690789898196</v>
      </c>
      <c r="E4" s="1">
        <v>0.119307688282181</v>
      </c>
      <c r="F4" s="1">
        <v>2.49672724312404E-2</v>
      </c>
      <c r="G4" s="1">
        <v>8.9900609003962004E-2</v>
      </c>
      <c r="H4" s="1">
        <v>5.3477365008802703E-4</v>
      </c>
      <c r="I4" s="1">
        <f t="shared" si="0"/>
        <v>0.1476378907150569</v>
      </c>
      <c r="J4" s="1"/>
      <c r="K4" s="1">
        <f t="shared" ref="K4:K5" si="1">MAX(C4-H4, D4-H4,E4-H4,F4-H4, G4 - H4)</f>
        <v>0.54894213424889393</v>
      </c>
      <c r="L4" s="1">
        <f>C4</f>
        <v>0.101640093023888</v>
      </c>
    </row>
    <row r="5" spans="1:13" x14ac:dyDescent="0.3">
      <c r="A5" t="s">
        <v>8</v>
      </c>
      <c r="B5" s="1">
        <v>0.68415092180172599</v>
      </c>
      <c r="C5" s="1">
        <v>8.8063995509097895E-2</v>
      </c>
      <c r="D5" s="1">
        <v>3.3080388015757002E-2</v>
      </c>
      <c r="E5" s="1">
        <v>0.77673545479774397</v>
      </c>
      <c r="F5" s="1">
        <v>0.40843815232316599</v>
      </c>
      <c r="G5" s="1">
        <v>5.8377242532211904E-3</v>
      </c>
      <c r="H5" s="1">
        <v>9.7171703949546395E-4</v>
      </c>
      <c r="I5" s="1">
        <f t="shared" si="0"/>
        <v>0.21885457198974692</v>
      </c>
      <c r="J5" s="1"/>
      <c r="K5" s="1">
        <f t="shared" si="1"/>
        <v>0.77576373775824847</v>
      </c>
      <c r="L5" s="1">
        <f>AVERAGE(C5,D5)</f>
        <v>6.0572191762427452E-2</v>
      </c>
    </row>
    <row r="6" spans="1:13" x14ac:dyDescent="0.3">
      <c r="A6" t="s">
        <v>9</v>
      </c>
      <c r="B6" s="1">
        <v>0</v>
      </c>
      <c r="C6" s="1">
        <v>1.50378056662248E-3</v>
      </c>
      <c r="D6" s="1">
        <v>5.35876364059125E-5</v>
      </c>
      <c r="E6" s="1">
        <v>1.52152074418457E-2</v>
      </c>
      <c r="F6" s="1">
        <v>0.43373633238176501</v>
      </c>
      <c r="G6" s="1">
        <v>3.2665470928501798E-2</v>
      </c>
      <c r="H6" s="1">
        <v>2.4891555181056901E-3</v>
      </c>
      <c r="I6" s="1">
        <f t="shared" si="0"/>
        <v>8.0943922412207769E-2</v>
      </c>
      <c r="J6" s="1"/>
      <c r="K6" s="1">
        <f>MAX(C6-H6, D6-H6,E6-H6,F6-H6, G6 - H6)</f>
        <v>0.43124717686365932</v>
      </c>
      <c r="L6" s="1">
        <f>AVERAGE(C6, D6, E6)</f>
        <v>5.5908585482913643E-3</v>
      </c>
    </row>
    <row r="7" spans="1:13" x14ac:dyDescent="0.3">
      <c r="A7" t="s">
        <v>10</v>
      </c>
      <c r="B7" s="1">
        <v>0</v>
      </c>
      <c r="C7" s="1">
        <v>8.2745414122958501E-3</v>
      </c>
      <c r="D7" s="1">
        <v>1.9324379769386699E-2</v>
      </c>
      <c r="E7" s="1">
        <v>1.2415115100642001E-2</v>
      </c>
      <c r="F7" s="1">
        <v>7.3113966571251299E-3</v>
      </c>
      <c r="G7" s="1">
        <v>0.55503802001476199</v>
      </c>
      <c r="H7" s="1">
        <v>0.161812851679769</v>
      </c>
      <c r="I7" s="1">
        <f t="shared" si="0"/>
        <v>0.12736271743899677</v>
      </c>
      <c r="J7" s="1"/>
      <c r="K7" s="1">
        <f>MAX(C7-H7, D7-H7,E7-H7,F7-H7, G7 - H7)</f>
        <v>0.39322516833499299</v>
      </c>
      <c r="L7" s="1">
        <f>AVERAGE(C7, D7, E7,F7)</f>
        <v>1.183135823486242E-2</v>
      </c>
    </row>
    <row r="8" spans="1:13" x14ac:dyDescent="0.3">
      <c r="A8" t="s">
        <v>17</v>
      </c>
      <c r="B8" s="1">
        <v>0</v>
      </c>
      <c r="C8" s="1">
        <v>9.4617958675371396E-3</v>
      </c>
      <c r="D8" s="1">
        <v>2.1549658028258501E-3</v>
      </c>
      <c r="E8" s="1">
        <v>4.8710561150073703E-3</v>
      </c>
      <c r="F8" s="1">
        <v>9.5690958805031703E-4</v>
      </c>
      <c r="G8" s="1">
        <v>0.166050453204661</v>
      </c>
      <c r="H8" s="1">
        <v>0.62899138033390001</v>
      </c>
      <c r="I8" s="1">
        <f t="shared" si="0"/>
        <v>0.13541442681866361</v>
      </c>
      <c r="J8" s="1"/>
      <c r="K8" s="1"/>
      <c r="L8" s="1">
        <f>AVERAGE(C8, D8, E8,F8, G8)</f>
        <v>3.6699036115616333E-2</v>
      </c>
    </row>
    <row r="9" spans="1:13" x14ac:dyDescent="0.3">
      <c r="A9" t="s">
        <v>1</v>
      </c>
      <c r="B9" s="1">
        <v>0.97939328849315599</v>
      </c>
      <c r="C9" s="1">
        <v>0.10788807459175501</v>
      </c>
      <c r="D9" s="1">
        <v>1.9496832508593701E-2</v>
      </c>
      <c r="E9" s="1">
        <v>5.9740903787314802E-2</v>
      </c>
      <c r="F9" s="1">
        <v>8.8005822908598897E-4</v>
      </c>
      <c r="G9" s="1">
        <v>1.9426313665462599E-3</v>
      </c>
      <c r="H9" s="1">
        <v>1.5525960589002301E-4</v>
      </c>
      <c r="M9" s="2">
        <f>(B9-H9)/B9</f>
        <v>0.99984147368813514</v>
      </c>
    </row>
    <row r="10" spans="1:13" x14ac:dyDescent="0.3">
      <c r="A10" s="4" t="s">
        <v>3</v>
      </c>
      <c r="B10" s="2"/>
      <c r="C10" s="2"/>
      <c r="D10" s="2"/>
      <c r="E10" s="2"/>
      <c r="F10" s="2"/>
      <c r="G10" s="2"/>
      <c r="H10" s="2"/>
      <c r="I10" s="2">
        <f>AVERAGE(I3:I8)</f>
        <v>0.15769311847411024</v>
      </c>
      <c r="J10" s="2">
        <f>AVERAGE(H3:H8)</f>
        <v>0.13522040838165575</v>
      </c>
      <c r="K10" s="2">
        <f>AVERAGE(K3:K7)</f>
        <v>0.56788815875355136</v>
      </c>
      <c r="L10" s="2">
        <f>AVERAGE(L3:L9)</f>
        <v>4.3266707537017113E-2</v>
      </c>
      <c r="M10" s="5"/>
    </row>
  </sheetData>
  <mergeCells count="1">
    <mergeCell ref="A1:M1"/>
  </mergeCells>
  <conditionalFormatting sqref="B3:H9">
    <cfRule type="cellIs" dxfId="29" priority="1" operator="between">
      <formula>0.1</formula>
      <formula>0.2</formula>
    </cfRule>
    <cfRule type="cellIs" dxfId="28" priority="2" operator="between">
      <formula>0.2</formula>
      <formula>0.4</formula>
    </cfRule>
    <cfRule type="cellIs" dxfId="27" priority="3" operator="between">
      <formula>0.4</formula>
      <formula>0.6</formula>
    </cfRule>
    <cfRule type="cellIs" dxfId="26" priority="4" operator="between">
      <formula>0.6</formula>
      <formula>0.8</formula>
    </cfRule>
    <cfRule type="cellIs" dxfId="25" priority="5" operator="between">
      <formula>0.8</formula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CA91-7D37-4DCE-9CA7-ED861C90BC9E}">
  <dimension ref="A1:M54"/>
  <sheetViews>
    <sheetView workbookViewId="0">
      <selection activeCell="A23" sqref="A23:M23"/>
    </sheetView>
  </sheetViews>
  <sheetFormatPr defaultRowHeight="14.4" x14ac:dyDescent="0.3"/>
  <cols>
    <col min="1" max="1" width="31.109375" customWidth="1"/>
    <col min="2" max="2" width="14.88671875" customWidth="1"/>
    <col min="3" max="3" width="16" customWidth="1"/>
    <col min="4" max="4" width="13.109375" customWidth="1"/>
    <col min="5" max="5" width="17.77734375" customWidth="1"/>
    <col min="6" max="6" width="17.109375" customWidth="1"/>
    <col min="7" max="7" width="15.6640625" customWidth="1"/>
    <col min="8" max="8" width="15" customWidth="1"/>
    <col min="9" max="9" width="11.77734375" customWidth="1"/>
    <col min="10" max="10" width="11.6640625" customWidth="1"/>
    <col min="11" max="11" width="9.5546875" bestFit="1" customWidth="1"/>
  </cols>
  <sheetData>
    <row r="1" spans="1:13" x14ac:dyDescent="0.3">
      <c r="A1" s="42" t="s">
        <v>32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s="3" customFormat="1" ht="43.2" x14ac:dyDescent="0.3">
      <c r="B2" s="3" t="s">
        <v>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17</v>
      </c>
      <c r="I2" s="4" t="s">
        <v>4</v>
      </c>
      <c r="J2" s="4" t="s">
        <v>11</v>
      </c>
      <c r="K2" s="4" t="s">
        <v>5</v>
      </c>
      <c r="L2" s="4" t="s">
        <v>2</v>
      </c>
      <c r="M2" s="4" t="s">
        <v>12</v>
      </c>
    </row>
    <row r="3" spans="1:13" x14ac:dyDescent="0.3">
      <c r="A3" t="s">
        <v>6</v>
      </c>
      <c r="B3" s="1">
        <v>0</v>
      </c>
      <c r="C3" s="1">
        <v>0.71198276678721095</v>
      </c>
      <c r="D3" s="1">
        <v>0</v>
      </c>
      <c r="E3" s="1">
        <v>1.4566781146640999E-3</v>
      </c>
      <c r="F3" s="1">
        <v>3.5013444564810899E-3</v>
      </c>
      <c r="G3" s="1">
        <v>0</v>
      </c>
      <c r="H3" s="1">
        <v>1.9428337245092998E-2</v>
      </c>
      <c r="I3" s="1">
        <f t="shared" ref="I3:I8" si="0">AVERAGE(C3:H3)</f>
        <v>0.12272818776724152</v>
      </c>
      <c r="J3" s="1"/>
      <c r="K3" s="1">
        <f>MAX(C3-H3, D3-H3,E3-H3,F3-H3, G3 - H3)</f>
        <v>0.69255442954211799</v>
      </c>
      <c r="L3" s="1"/>
    </row>
    <row r="4" spans="1:13" x14ac:dyDescent="0.3">
      <c r="A4" t="s">
        <v>7</v>
      </c>
      <c r="B4" s="1">
        <v>0</v>
      </c>
      <c r="C4" s="1">
        <v>0</v>
      </c>
      <c r="D4" s="1">
        <v>0.83711390197277002</v>
      </c>
      <c r="E4" s="1">
        <v>1.6306651339922E-3</v>
      </c>
      <c r="F4" s="1">
        <v>6.0381823762630398E-5</v>
      </c>
      <c r="G4" s="1">
        <v>1.0808511916972401E-2</v>
      </c>
      <c r="H4" s="1">
        <v>0</v>
      </c>
      <c r="I4" s="1">
        <f t="shared" si="0"/>
        <v>0.14160224347458289</v>
      </c>
      <c r="J4" s="1"/>
      <c r="K4" s="1">
        <f t="shared" ref="K4:K5" si="1">MAX(C4-H4, D4-H4,E4-H4,F4-H4, G4 - H4)</f>
        <v>0.83711390197277002</v>
      </c>
      <c r="L4" s="1">
        <f>C4</f>
        <v>0</v>
      </c>
    </row>
    <row r="5" spans="1:13" x14ac:dyDescent="0.3">
      <c r="A5" t="s">
        <v>8</v>
      </c>
      <c r="B5" s="1">
        <v>0.68415092180172599</v>
      </c>
      <c r="C5" s="1">
        <v>1.2109769777453E-3</v>
      </c>
      <c r="D5" s="1">
        <v>5.3935991354592196E-4</v>
      </c>
      <c r="E5" s="1">
        <v>0.84134003520011902</v>
      </c>
      <c r="F5" s="1">
        <v>0.27089781748751801</v>
      </c>
      <c r="G5" s="1">
        <v>5.6987109096553398E-3</v>
      </c>
      <c r="H5" s="1">
        <v>5.9105805983866297E-3</v>
      </c>
      <c r="I5" s="1">
        <f t="shared" si="0"/>
        <v>0.18759958018116171</v>
      </c>
      <c r="J5" s="1"/>
      <c r="K5" s="1">
        <f t="shared" si="1"/>
        <v>0.83542945460173235</v>
      </c>
      <c r="L5" s="1">
        <f>AVERAGE(C5,D5)</f>
        <v>8.7516844564561097E-4</v>
      </c>
    </row>
    <row r="6" spans="1:13" x14ac:dyDescent="0.3">
      <c r="A6" t="s">
        <v>9</v>
      </c>
      <c r="B6" s="1">
        <v>0</v>
      </c>
      <c r="C6" s="1">
        <v>0</v>
      </c>
      <c r="D6" s="1">
        <v>0</v>
      </c>
      <c r="E6" s="1">
        <v>3.7569744771038401E-3</v>
      </c>
      <c r="F6" s="1">
        <v>0.424105136655271</v>
      </c>
      <c r="G6" s="1">
        <v>1.68047980696428E-3</v>
      </c>
      <c r="H6" s="1">
        <v>3.7918898398856898E-2</v>
      </c>
      <c r="I6" s="1">
        <f t="shared" si="0"/>
        <v>7.7910248223032663E-2</v>
      </c>
      <c r="J6" s="1"/>
      <c r="K6" s="1">
        <f>MAX(C6-H6, D6-H6,E6-H6,F6-H6, G6 - H6)</f>
        <v>0.38618623825641407</v>
      </c>
      <c r="L6" s="1">
        <f>AVERAGE(C6, D6, E6)</f>
        <v>1.2523248257012801E-3</v>
      </c>
    </row>
    <row r="7" spans="1:13" x14ac:dyDescent="0.3">
      <c r="A7" t="s">
        <v>10</v>
      </c>
      <c r="B7" s="1">
        <v>0</v>
      </c>
      <c r="C7" s="1">
        <v>0</v>
      </c>
      <c r="D7" s="1">
        <v>8.6187084862103802E-3</v>
      </c>
      <c r="E7" s="1">
        <v>8.3860498951556395E-4</v>
      </c>
      <c r="F7" s="1">
        <v>1.31579548906302E-4</v>
      </c>
      <c r="G7" s="1">
        <v>0.77916811903317695</v>
      </c>
      <c r="H7" s="1">
        <v>1.2820567397284301E-2</v>
      </c>
      <c r="I7" s="1">
        <f t="shared" si="0"/>
        <v>0.13359626324251558</v>
      </c>
      <c r="J7" s="1"/>
      <c r="K7" s="1">
        <f>MAX(C7-H7, D7-H7,E7-H7,F7-H7, G7 - H7)</f>
        <v>0.76634755163589263</v>
      </c>
      <c r="L7" s="1">
        <f>AVERAGE(C7, D7, E7,F7)</f>
        <v>2.3972232561580618E-3</v>
      </c>
    </row>
    <row r="8" spans="1:13" x14ac:dyDescent="0.3">
      <c r="A8" t="s">
        <v>17</v>
      </c>
      <c r="B8" s="1">
        <v>0</v>
      </c>
      <c r="C8" s="1">
        <v>7.4648775386473602E-3</v>
      </c>
      <c r="D8" s="1">
        <v>0</v>
      </c>
      <c r="E8" s="1">
        <v>8.8302578675817701E-4</v>
      </c>
      <c r="F8" s="1">
        <v>0</v>
      </c>
      <c r="G8" s="1">
        <v>1.42917505096799E-4</v>
      </c>
      <c r="H8" s="1">
        <v>0.70541370660066605</v>
      </c>
      <c r="I8" s="1">
        <f t="shared" si="0"/>
        <v>0.11898408790519473</v>
      </c>
      <c r="J8" s="1"/>
      <c r="K8" s="1"/>
      <c r="L8" s="1">
        <f>AVERAGE(C8, D8, E8,F8, G8)</f>
        <v>1.6981641661004674E-3</v>
      </c>
    </row>
    <row r="9" spans="1:13" x14ac:dyDescent="0.3">
      <c r="A9" t="s">
        <v>1</v>
      </c>
      <c r="B9" s="1">
        <v>0.97939328849315599</v>
      </c>
      <c r="C9" s="1">
        <v>1.9530766876414401E-3</v>
      </c>
      <c r="D9" s="1">
        <v>3.9820086158215397E-5</v>
      </c>
      <c r="E9" s="1">
        <v>2.6527552563493301E-6</v>
      </c>
      <c r="F9" s="1">
        <v>1.09860601035904E-4</v>
      </c>
      <c r="G9" s="1">
        <v>0</v>
      </c>
      <c r="H9" s="1">
        <v>4.3319990800227899E-4</v>
      </c>
      <c r="M9" s="2">
        <f>(B9-H9)/B9</f>
        <v>0.9995576854435374</v>
      </c>
    </row>
    <row r="10" spans="1:13" x14ac:dyDescent="0.3">
      <c r="A10" s="4" t="s">
        <v>3</v>
      </c>
      <c r="B10" s="2"/>
      <c r="C10" s="2"/>
      <c r="D10" s="2"/>
      <c r="E10" s="2"/>
      <c r="F10" s="2"/>
      <c r="G10" s="2"/>
      <c r="H10" s="2"/>
      <c r="I10" s="2">
        <f>AVERAGE(I3:I8)</f>
        <v>0.13040343513228819</v>
      </c>
      <c r="J10" s="2">
        <f>AVERAGE(H3:H8)</f>
        <v>0.13024868170671447</v>
      </c>
      <c r="K10" s="2">
        <f>AVERAGE(K3:K7)</f>
        <v>0.70352631520178543</v>
      </c>
      <c r="L10" s="2">
        <f>AVERAGE(L3:L9)</f>
        <v>1.2445761387210839E-3</v>
      </c>
      <c r="M10" s="5"/>
    </row>
    <row r="12" spans="1:13" x14ac:dyDescent="0.3">
      <c r="A12" s="42" t="s">
        <v>50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43.2" x14ac:dyDescent="0.3">
      <c r="A13" s="3"/>
      <c r="B13" s="3" t="s">
        <v>0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10</v>
      </c>
      <c r="H13" s="3" t="s">
        <v>17</v>
      </c>
      <c r="I13" s="4" t="s">
        <v>4</v>
      </c>
      <c r="J13" s="4" t="s">
        <v>11</v>
      </c>
      <c r="K13" s="4" t="s">
        <v>5</v>
      </c>
      <c r="L13" s="4" t="s">
        <v>2</v>
      </c>
      <c r="M13" s="4" t="s">
        <v>12</v>
      </c>
    </row>
    <row r="14" spans="1:13" x14ac:dyDescent="0.3">
      <c r="A14" t="s">
        <v>6</v>
      </c>
      <c r="B14" s="1">
        <v>0</v>
      </c>
      <c r="C14" s="1">
        <v>0.64516957725087798</v>
      </c>
      <c r="D14" s="1">
        <v>0.189640577772479</v>
      </c>
      <c r="E14" s="1">
        <v>1.9553726645729799E-3</v>
      </c>
      <c r="F14" s="1">
        <v>2.49217112044182E-2</v>
      </c>
      <c r="G14" s="1">
        <v>2.4960158367169499E-3</v>
      </c>
      <c r="H14" s="1">
        <v>8.3038107119743094E-3</v>
      </c>
      <c r="I14" s="1">
        <f t="shared" ref="I14:I19" si="2">AVERAGE(C14:H14)</f>
        <v>0.14541451090683991</v>
      </c>
      <c r="J14" s="1"/>
      <c r="K14" s="1">
        <f>MAX(C14-H14, D14-H14,E14-H14,F14-H14, G14 - H14)</f>
        <v>0.6368657665389037</v>
      </c>
      <c r="L14" s="1"/>
    </row>
    <row r="15" spans="1:13" x14ac:dyDescent="0.3">
      <c r="A15" t="s">
        <v>7</v>
      </c>
      <c r="B15" s="1">
        <v>0</v>
      </c>
      <c r="C15" s="1">
        <v>7.6352600105262002E-3</v>
      </c>
      <c r="D15" s="1">
        <v>0.68917800734440404</v>
      </c>
      <c r="E15" s="1">
        <v>3.3157066562428802E-3</v>
      </c>
      <c r="F15" s="1">
        <v>1.17213163866836E-3</v>
      </c>
      <c r="G15" s="1">
        <v>2.9471907417549402E-3</v>
      </c>
      <c r="H15" s="1">
        <v>4.8508672807656602E-4</v>
      </c>
      <c r="I15" s="1">
        <f t="shared" si="2"/>
        <v>0.11745556385327884</v>
      </c>
      <c r="J15" s="1"/>
      <c r="K15" s="1">
        <f t="shared" ref="K15:K16" si="3">MAX(C15-H15, D15-H15,E15-H15,F15-H15, G15 - H15)</f>
        <v>0.68869292061632748</v>
      </c>
      <c r="L15" s="1">
        <f>C15</f>
        <v>7.6352600105262002E-3</v>
      </c>
    </row>
    <row r="16" spans="1:13" x14ac:dyDescent="0.3">
      <c r="A16" t="s">
        <v>8</v>
      </c>
      <c r="B16" s="1">
        <v>0.68415092180172599</v>
      </c>
      <c r="C16" s="1">
        <v>4.8183289240114301E-2</v>
      </c>
      <c r="D16" s="1">
        <v>1.1188103719784201E-2</v>
      </c>
      <c r="E16" s="1">
        <v>0.76751923809448797</v>
      </c>
      <c r="F16" s="1">
        <v>0.23342702848215899</v>
      </c>
      <c r="G16" s="1">
        <v>4.9686077018880797E-3</v>
      </c>
      <c r="H16" s="1">
        <v>5.52008369989683E-3</v>
      </c>
      <c r="I16" s="1">
        <f t="shared" si="2"/>
        <v>0.17846772515638834</v>
      </c>
      <c r="J16" s="1"/>
      <c r="K16" s="1">
        <f t="shared" si="3"/>
        <v>0.76199915439459109</v>
      </c>
      <c r="L16" s="1">
        <f>AVERAGE(C16,D16)</f>
        <v>2.9685696479949251E-2</v>
      </c>
    </row>
    <row r="17" spans="1:13" x14ac:dyDescent="0.3">
      <c r="A17" t="s">
        <v>9</v>
      </c>
      <c r="B17" s="1">
        <v>0</v>
      </c>
      <c r="C17" s="1">
        <v>1.5716746020189E-6</v>
      </c>
      <c r="D17" s="1">
        <v>0</v>
      </c>
      <c r="E17" s="1">
        <v>9.8445390817687405E-3</v>
      </c>
      <c r="F17" s="1">
        <v>0.41006636992096901</v>
      </c>
      <c r="G17" s="1">
        <v>1.19944384649291E-3</v>
      </c>
      <c r="H17" s="1">
        <v>1.23994149956464E-2</v>
      </c>
      <c r="I17" s="1">
        <f t="shared" si="2"/>
        <v>7.2251889919913173E-2</v>
      </c>
      <c r="J17" s="1"/>
      <c r="K17" s="1">
        <f>MAX(C17-H17, D17-H17,E17-H17,F17-H17, G17 - H17)</f>
        <v>0.39766695492532261</v>
      </c>
      <c r="L17" s="1">
        <f>AVERAGE(C17, D17, E17)</f>
        <v>3.282036918790253E-3</v>
      </c>
    </row>
    <row r="18" spans="1:13" x14ac:dyDescent="0.3">
      <c r="A18" t="s">
        <v>10</v>
      </c>
      <c r="B18" s="1">
        <v>0</v>
      </c>
      <c r="C18" s="1">
        <v>1.5129224630072699E-4</v>
      </c>
      <c r="D18" s="1">
        <v>1.6707110994805801E-2</v>
      </c>
      <c r="E18" s="1">
        <v>1.2578890399102701E-3</v>
      </c>
      <c r="F18" s="1">
        <v>2.0554414125702601E-4</v>
      </c>
      <c r="G18" s="1">
        <v>0.48176087097575199</v>
      </c>
      <c r="H18" s="1">
        <v>0.20671878453110001</v>
      </c>
      <c r="I18" s="1">
        <f t="shared" si="2"/>
        <v>0.11780024865485432</v>
      </c>
      <c r="J18" s="1"/>
      <c r="K18" s="1">
        <f>MAX(C18-H18, D18-H18,E18-H18,F18-H18, G18 - H18)</f>
        <v>0.275042086444652</v>
      </c>
      <c r="L18" s="1">
        <f>AVERAGE(C18, D18, E18,F18)</f>
        <v>4.5804591055684562E-3</v>
      </c>
    </row>
    <row r="19" spans="1:13" x14ac:dyDescent="0.3">
      <c r="A19" t="s">
        <v>17</v>
      </c>
      <c r="B19" s="1">
        <v>0</v>
      </c>
      <c r="C19" s="1">
        <v>4.0121231268130898E-3</v>
      </c>
      <c r="D19" s="1">
        <v>5.0231648469889402E-4</v>
      </c>
      <c r="E19" s="1">
        <v>1.89252238540878E-3</v>
      </c>
      <c r="F19" s="1">
        <v>7.55635119276121E-6</v>
      </c>
      <c r="G19" s="1">
        <v>0.36557821060220402</v>
      </c>
      <c r="H19" s="1">
        <v>0.59304754311839702</v>
      </c>
      <c r="I19" s="1">
        <f t="shared" si="2"/>
        <v>0.16084004534478577</v>
      </c>
      <c r="J19" s="1"/>
      <c r="K19" s="1"/>
      <c r="L19" s="1">
        <f>AVERAGE(C19, D19, E19,F19, G19)</f>
        <v>7.4398545790063511E-2</v>
      </c>
    </row>
    <row r="20" spans="1:13" x14ac:dyDescent="0.3">
      <c r="A20" t="s">
        <v>1</v>
      </c>
      <c r="B20" s="1">
        <v>0.97939328849315599</v>
      </c>
      <c r="C20" s="1">
        <v>0.61444568634033203</v>
      </c>
      <c r="D20" s="1">
        <v>5.3153912595007499E-3</v>
      </c>
      <c r="E20" s="1">
        <v>4.2877760715782601E-2</v>
      </c>
      <c r="F20" s="1">
        <v>3.6875115256407298E-4</v>
      </c>
      <c r="G20" s="1">
        <v>7.6657570389215801E-6</v>
      </c>
      <c r="H20" s="1">
        <v>1.6570766729273601E-4</v>
      </c>
      <c r="M20" s="2">
        <f>(B20-H20)/B20</f>
        <v>0.99983080579656847</v>
      </c>
    </row>
    <row r="21" spans="1:13" x14ac:dyDescent="0.3">
      <c r="A21" s="4" t="s">
        <v>3</v>
      </c>
      <c r="B21" s="2"/>
      <c r="C21" s="2"/>
      <c r="D21" s="2"/>
      <c r="E21" s="2"/>
      <c r="F21" s="2"/>
      <c r="G21" s="2"/>
      <c r="H21" s="2"/>
      <c r="I21" s="2">
        <f>AVERAGE(I14:I19)</f>
        <v>0.13203833063934339</v>
      </c>
      <c r="J21" s="2">
        <f>AVERAGE(H14:H19)</f>
        <v>0.13774578729751519</v>
      </c>
      <c r="K21" s="2">
        <f>AVERAGE(K14:K18)</f>
        <v>0.55205337658395925</v>
      </c>
      <c r="L21" s="2">
        <f>AVERAGE(L14:L20)</f>
        <v>2.3916399660979536E-2</v>
      </c>
      <c r="M21" s="5"/>
    </row>
    <row r="23" spans="1:13" x14ac:dyDescent="0.3">
      <c r="A23" s="42" t="s">
        <v>54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43.2" x14ac:dyDescent="0.3">
      <c r="A24" s="3"/>
      <c r="B24" s="3" t="s">
        <v>0</v>
      </c>
      <c r="C24" s="3" t="s">
        <v>6</v>
      </c>
      <c r="D24" s="3" t="s">
        <v>7</v>
      </c>
      <c r="E24" s="3" t="s">
        <v>8</v>
      </c>
      <c r="F24" s="3" t="s">
        <v>9</v>
      </c>
      <c r="G24" s="3" t="s">
        <v>10</v>
      </c>
      <c r="H24" s="3" t="s">
        <v>17</v>
      </c>
      <c r="I24" s="4" t="s">
        <v>4</v>
      </c>
      <c r="J24" s="4" t="s">
        <v>11</v>
      </c>
      <c r="K24" s="4" t="s">
        <v>5</v>
      </c>
      <c r="L24" s="4" t="s">
        <v>2</v>
      </c>
      <c r="M24" s="4" t="s">
        <v>12</v>
      </c>
    </row>
    <row r="25" spans="1:13" x14ac:dyDescent="0.3">
      <c r="A25" t="s">
        <v>6</v>
      </c>
      <c r="B25" s="1">
        <v>0</v>
      </c>
      <c r="C25" s="1">
        <v>0.61654931058486295</v>
      </c>
      <c r="D25" s="1">
        <v>0.46522400776545197</v>
      </c>
      <c r="E25" s="1">
        <v>0.24571208609268</v>
      </c>
      <c r="F25" s="1">
        <v>0.36815436122318101</v>
      </c>
      <c r="G25" s="1">
        <v>0.13775921146346501</v>
      </c>
      <c r="H25" s="1">
        <v>1.2205214916775699E-2</v>
      </c>
      <c r="I25" s="1">
        <f t="shared" ref="I25:I30" si="4">AVERAGE(C25:H25)</f>
        <v>0.30760069867440276</v>
      </c>
      <c r="J25" s="1"/>
      <c r="K25" s="1">
        <f>MAX(C25-H25, D25-H25,E25-H25,F25-H25, G25 - H25)</f>
        <v>0.60434409566808722</v>
      </c>
      <c r="L25" s="1"/>
    </row>
    <row r="26" spans="1:13" x14ac:dyDescent="0.3">
      <c r="A26" t="s">
        <v>7</v>
      </c>
      <c r="B26" s="1">
        <v>0</v>
      </c>
      <c r="C26" s="1">
        <v>3.9130115571121301E-4</v>
      </c>
      <c r="D26" s="1">
        <v>0.44783632022639103</v>
      </c>
      <c r="E26" s="1">
        <v>0.186136233154684</v>
      </c>
      <c r="F26" s="1">
        <v>0.12983791783547799</v>
      </c>
      <c r="G26" s="1">
        <v>0.183476512970325</v>
      </c>
      <c r="H26" s="1">
        <v>6.2665626179902196E-3</v>
      </c>
      <c r="I26" s="1">
        <f t="shared" si="4"/>
        <v>0.15899080799342991</v>
      </c>
      <c r="J26" s="1"/>
      <c r="K26" s="1">
        <f t="shared" ref="K26:K27" si="5">MAX(C26-H26, D26-H26,E26-H26,F26-H26, G26 - H26)</f>
        <v>0.44156975760840078</v>
      </c>
      <c r="L26" s="1">
        <f>C26</f>
        <v>3.9130115571121301E-4</v>
      </c>
    </row>
    <row r="27" spans="1:13" x14ac:dyDescent="0.3">
      <c r="A27" t="s">
        <v>8</v>
      </c>
      <c r="B27" s="1">
        <v>0.68415092180172599</v>
      </c>
      <c r="C27" s="1">
        <v>0.47929638810455799</v>
      </c>
      <c r="D27" s="1">
        <v>0.374228922029336</v>
      </c>
      <c r="E27" s="1">
        <v>0.69859945649902</v>
      </c>
      <c r="F27" s="1">
        <v>0.37971739222605999</v>
      </c>
      <c r="G27" s="1">
        <v>0.469685528427362</v>
      </c>
      <c r="H27" s="1">
        <v>0.41838934893409402</v>
      </c>
      <c r="I27" s="1">
        <f t="shared" si="4"/>
        <v>0.46998617270340498</v>
      </c>
      <c r="J27" s="1"/>
      <c r="K27" s="1">
        <f t="shared" si="5"/>
        <v>0.28021010756492598</v>
      </c>
      <c r="L27" s="1">
        <f>AVERAGE(C27,D27)</f>
        <v>0.42676265506694699</v>
      </c>
    </row>
    <row r="28" spans="1:13" x14ac:dyDescent="0.3">
      <c r="A28" t="s">
        <v>9</v>
      </c>
      <c r="B28" s="1">
        <v>0</v>
      </c>
      <c r="C28" s="1">
        <v>0</v>
      </c>
      <c r="D28" s="1">
        <v>0</v>
      </c>
      <c r="E28" s="1">
        <v>0</v>
      </c>
      <c r="F28" s="1">
        <v>0.32470388555278301</v>
      </c>
      <c r="G28" s="1">
        <v>2.3142330239049099E-2</v>
      </c>
      <c r="H28" s="1">
        <v>3.3568282155404902E-2</v>
      </c>
      <c r="I28" s="1">
        <f t="shared" si="4"/>
        <v>6.3569082991206172E-2</v>
      </c>
      <c r="J28" s="1"/>
      <c r="K28" s="1">
        <f>MAX(C28-H28, D28-H28,E28-H28,F28-H28, G28 - H28)</f>
        <v>0.2911356033973781</v>
      </c>
      <c r="L28" s="1">
        <f>AVERAGE(C28, D28, E28)</f>
        <v>0</v>
      </c>
    </row>
    <row r="29" spans="1:13" x14ac:dyDescent="0.3">
      <c r="A29" t="s">
        <v>10</v>
      </c>
      <c r="B29" s="1">
        <v>0</v>
      </c>
      <c r="C29" s="1">
        <v>1.1145886674057601E-5</v>
      </c>
      <c r="D29" s="1">
        <v>6.2578074814155102E-2</v>
      </c>
      <c r="E29" s="1">
        <v>2.6410830565509899E-2</v>
      </c>
      <c r="F29" s="1">
        <v>4.0980710461250604E-3</v>
      </c>
      <c r="G29" s="1">
        <v>0.58348405795792702</v>
      </c>
      <c r="H29" s="1">
        <v>0.35992088269752698</v>
      </c>
      <c r="I29" s="1">
        <f t="shared" si="4"/>
        <v>0.17275051049465304</v>
      </c>
      <c r="J29" s="1"/>
      <c r="K29" s="1">
        <f>MAX(C29-H29, D29-H29,E29-H29,F29-H29, G29 - H29)</f>
        <v>0.22356317526040004</v>
      </c>
      <c r="L29" s="1">
        <f>AVERAGE(C29, D29, E29,F29)</f>
        <v>2.3274530578116029E-2</v>
      </c>
    </row>
    <row r="30" spans="1:13" x14ac:dyDescent="0.3">
      <c r="A30" t="s">
        <v>17</v>
      </c>
      <c r="B30" s="1">
        <v>0</v>
      </c>
      <c r="C30" s="1">
        <v>7.8543622330926099E-2</v>
      </c>
      <c r="D30" s="1">
        <v>2.9453173760733298E-2</v>
      </c>
      <c r="E30" s="1">
        <v>0.14145366069715201</v>
      </c>
      <c r="F30" s="1">
        <v>8.4485618162943796E-3</v>
      </c>
      <c r="G30" s="1">
        <v>0.127191326619746</v>
      </c>
      <c r="H30" s="1">
        <v>0.50730225816369001</v>
      </c>
      <c r="I30" s="1">
        <f t="shared" si="4"/>
        <v>0.14873210056475697</v>
      </c>
      <c r="J30" s="1"/>
      <c r="K30" s="1"/>
      <c r="L30" s="1">
        <f>AVERAGE(C30, D30, E30,F30, G30)</f>
        <v>7.7018069044970355E-2</v>
      </c>
    </row>
    <row r="31" spans="1:13" x14ac:dyDescent="0.3">
      <c r="A31" t="s">
        <v>1</v>
      </c>
      <c r="B31" s="1">
        <v>0.97939328849315599</v>
      </c>
      <c r="C31" s="1">
        <v>0.96597559750080098</v>
      </c>
      <c r="D31" s="1">
        <v>0.96611563861369998</v>
      </c>
      <c r="E31" s="1">
        <v>0.96824151277542103</v>
      </c>
      <c r="F31" s="1">
        <v>0.97476276755332902</v>
      </c>
      <c r="G31" s="1">
        <v>0.96991041302680903</v>
      </c>
      <c r="H31" s="1">
        <v>0.96993769705295496</v>
      </c>
      <c r="M31" s="2">
        <f>(B31-H31)/B31</f>
        <v>9.6545397556776335E-3</v>
      </c>
    </row>
    <row r="32" spans="1:13" x14ac:dyDescent="0.3">
      <c r="A32" s="4" t="s">
        <v>3</v>
      </c>
      <c r="B32" s="2"/>
      <c r="C32" s="2"/>
      <c r="D32" s="2"/>
      <c r="E32" s="2"/>
      <c r="F32" s="2"/>
      <c r="G32" s="2"/>
      <c r="H32" s="2"/>
      <c r="I32" s="2">
        <f>AVERAGE(I25:I30)</f>
        <v>0.22027156223697564</v>
      </c>
      <c r="J32" s="2">
        <f>AVERAGE(H25:H30)</f>
        <v>0.22294209158091363</v>
      </c>
      <c r="K32" s="2">
        <f>AVERAGE(K25:K29)</f>
        <v>0.36816454789983838</v>
      </c>
      <c r="L32" s="2">
        <f>AVERAGE(L25:L31)</f>
        <v>0.10548931116914892</v>
      </c>
      <c r="M32" s="5"/>
    </row>
    <row r="34" spans="1:13" x14ac:dyDescent="0.3">
      <c r="A34" s="42" t="s">
        <v>55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ht="43.2" x14ac:dyDescent="0.3">
      <c r="A35" s="3"/>
      <c r="B35" s="3" t="s">
        <v>0</v>
      </c>
      <c r="C35" s="3" t="s">
        <v>6</v>
      </c>
      <c r="D35" s="3" t="s">
        <v>7</v>
      </c>
      <c r="E35" s="3" t="s">
        <v>8</v>
      </c>
      <c r="F35" s="3" t="s">
        <v>9</v>
      </c>
      <c r="G35" s="3" t="s">
        <v>10</v>
      </c>
      <c r="H35" s="3" t="s">
        <v>17</v>
      </c>
      <c r="I35" s="4" t="s">
        <v>4</v>
      </c>
      <c r="J35" s="4" t="s">
        <v>11</v>
      </c>
      <c r="K35" s="4" t="s">
        <v>5</v>
      </c>
      <c r="L35" s="4" t="s">
        <v>2</v>
      </c>
      <c r="M35" s="4" t="s">
        <v>12</v>
      </c>
    </row>
    <row r="36" spans="1:13" x14ac:dyDescent="0.3">
      <c r="A36" t="s">
        <v>6</v>
      </c>
      <c r="B36" s="1">
        <v>0</v>
      </c>
      <c r="C36" s="1">
        <v>0.76880182450016299</v>
      </c>
      <c r="D36" s="1">
        <v>0.40549288503825598</v>
      </c>
      <c r="E36" s="1">
        <v>4.86159880832322E-3</v>
      </c>
      <c r="F36" s="1">
        <v>6.5947687098135505E-2</v>
      </c>
      <c r="G36" s="1">
        <v>5.1588319940492497E-2</v>
      </c>
      <c r="H36" s="1">
        <v>3.2692881116721098E-2</v>
      </c>
      <c r="I36" s="1">
        <f t="shared" ref="I36:I41" si="6">AVERAGE(C36:H36)</f>
        <v>0.22156419941701519</v>
      </c>
      <c r="J36" s="1"/>
      <c r="K36" s="1">
        <f>MAX(C36-H36, D36-H36,E36-H36,F36-H36, G36 - H36)</f>
        <v>0.7361089433834419</v>
      </c>
      <c r="L36" s="1"/>
    </row>
    <row r="37" spans="1:13" x14ac:dyDescent="0.3">
      <c r="A37" t="s">
        <v>7</v>
      </c>
      <c r="B37" s="1">
        <v>0</v>
      </c>
      <c r="C37" s="1">
        <v>1.01016606398237E-3</v>
      </c>
      <c r="D37" s="1">
        <v>0.53426148618261005</v>
      </c>
      <c r="E37" s="1">
        <v>1.29272049142249E-2</v>
      </c>
      <c r="F37" s="1">
        <v>1.3449758616237199E-2</v>
      </c>
      <c r="G37" s="1">
        <v>1.3243444462811199E-2</v>
      </c>
      <c r="H37" s="1">
        <v>3.1926669206920099E-3</v>
      </c>
      <c r="I37" s="1">
        <f t="shared" si="6"/>
        <v>9.6347454526759635E-2</v>
      </c>
      <c r="J37" s="1"/>
      <c r="K37" s="1">
        <f t="shared" ref="K37:K38" si="7">MAX(C37-H37, D37-H37,E37-H37,F37-H37, G37 - H37)</f>
        <v>0.53106881926191807</v>
      </c>
      <c r="L37" s="1">
        <f>C37</f>
        <v>1.01016606398237E-3</v>
      </c>
    </row>
    <row r="38" spans="1:13" x14ac:dyDescent="0.3">
      <c r="A38" t="s">
        <v>8</v>
      </c>
      <c r="B38" s="1">
        <v>0.68415092180172599</v>
      </c>
      <c r="C38" s="1">
        <v>0.115837501672406</v>
      </c>
      <c r="D38" s="1">
        <v>9.0615897439420195E-2</v>
      </c>
      <c r="E38" s="1">
        <v>0.72663001716136899</v>
      </c>
      <c r="F38" s="1">
        <v>0.240963857000072</v>
      </c>
      <c r="G38" s="1">
        <v>1.2365640577627301E-2</v>
      </c>
      <c r="H38" s="1">
        <v>9.3905106089853998E-3</v>
      </c>
      <c r="I38" s="1">
        <f t="shared" si="6"/>
        <v>0.19930057074331331</v>
      </c>
      <c r="J38" s="1"/>
      <c r="K38" s="1">
        <f t="shared" si="7"/>
        <v>0.71723950655238355</v>
      </c>
      <c r="L38" s="1">
        <f>AVERAGE(C38,D38)</f>
        <v>0.1032266995559131</v>
      </c>
    </row>
    <row r="39" spans="1:13" x14ac:dyDescent="0.3">
      <c r="A39" t="s">
        <v>9</v>
      </c>
      <c r="B39" s="1">
        <v>0</v>
      </c>
      <c r="C39" s="1">
        <v>0</v>
      </c>
      <c r="D39" s="1">
        <v>1.9622619220172001E-5</v>
      </c>
      <c r="E39" s="1">
        <v>5.6424659402788697E-3</v>
      </c>
      <c r="F39" s="1">
        <v>0.36073482936869</v>
      </c>
      <c r="G39" s="1">
        <v>1.5808278750531202E-2</v>
      </c>
      <c r="H39" s="1">
        <v>2.69115639093797E-3</v>
      </c>
      <c r="I39" s="1">
        <f t="shared" si="6"/>
        <v>6.4149392178276379E-2</v>
      </c>
      <c r="J39" s="1"/>
      <c r="K39" s="1">
        <f>MAX(C39-H39, D39-H39,E39-H39,F39-H39, G39 - H39)</f>
        <v>0.35804367297775203</v>
      </c>
      <c r="L39" s="1">
        <f>AVERAGE(C39, D39, E39)</f>
        <v>1.8873628531663473E-3</v>
      </c>
    </row>
    <row r="40" spans="1:13" x14ac:dyDescent="0.3">
      <c r="A40" t="s">
        <v>10</v>
      </c>
      <c r="B40" s="1">
        <v>0</v>
      </c>
      <c r="C40" s="1">
        <v>3.8534936805566101E-3</v>
      </c>
      <c r="D40" s="1">
        <v>2.4874419668776598E-2</v>
      </c>
      <c r="E40" s="1">
        <v>1.8892540974775301E-2</v>
      </c>
      <c r="F40" s="1">
        <v>6.8548443365064695E-4</v>
      </c>
      <c r="G40" s="1">
        <v>0.59795784577727296</v>
      </c>
      <c r="H40" s="1">
        <v>0.35125890529404002</v>
      </c>
      <c r="I40" s="1">
        <f t="shared" si="6"/>
        <v>0.16625378163817869</v>
      </c>
      <c r="J40" s="1"/>
      <c r="K40" s="1">
        <f>MAX(C40-H40, D40-H40,E40-H40,F40-H40, G40 - H40)</f>
        <v>0.24669894048323293</v>
      </c>
      <c r="L40" s="1">
        <f>AVERAGE(C40, D40, E40,F40)</f>
        <v>1.207648468943979E-2</v>
      </c>
    </row>
    <row r="41" spans="1:13" x14ac:dyDescent="0.3">
      <c r="A41" t="s">
        <v>17</v>
      </c>
      <c r="B41" s="1">
        <v>0</v>
      </c>
      <c r="C41" s="1">
        <v>2.2618166808570001E-2</v>
      </c>
      <c r="D41" s="1">
        <v>8.56235024760584E-4</v>
      </c>
      <c r="E41" s="1">
        <v>2.78916948009282E-2</v>
      </c>
      <c r="F41" s="1">
        <v>8.5020934996767495E-4</v>
      </c>
      <c r="G41" s="1">
        <v>0.30001546690861303</v>
      </c>
      <c r="H41" s="1">
        <v>0.68259456629554405</v>
      </c>
      <c r="I41" s="1">
        <f t="shared" si="6"/>
        <v>0.17247105653139724</v>
      </c>
      <c r="J41" s="1"/>
      <c r="K41" s="1"/>
      <c r="L41" s="1">
        <f>AVERAGE(C41, D41, E41,F41, G41)</f>
        <v>7.0446354578567891E-2</v>
      </c>
    </row>
    <row r="42" spans="1:13" x14ac:dyDescent="0.3">
      <c r="A42" t="s">
        <v>1</v>
      </c>
      <c r="B42" s="1">
        <v>0.97939328849315599</v>
      </c>
      <c r="C42" s="1">
        <v>0.91259871423244399</v>
      </c>
      <c r="D42" s="1">
        <v>0.77176722884178095</v>
      </c>
      <c r="E42" s="1">
        <v>0.72637499868869704</v>
      </c>
      <c r="F42" s="1">
        <v>0.65495751798152901</v>
      </c>
      <c r="G42" s="1">
        <v>0.47372756153345102</v>
      </c>
      <c r="H42" s="1">
        <v>0.67412997782230299</v>
      </c>
      <c r="M42" s="2">
        <f>(B42-H42)/B42</f>
        <v>0.31168613697620429</v>
      </c>
    </row>
    <row r="43" spans="1:13" x14ac:dyDescent="0.3">
      <c r="A43" s="4" t="s">
        <v>3</v>
      </c>
      <c r="B43" s="2"/>
      <c r="C43" s="2"/>
      <c r="D43" s="2"/>
      <c r="E43" s="2"/>
      <c r="F43" s="2"/>
      <c r="G43" s="2"/>
      <c r="H43" s="2"/>
      <c r="I43" s="2">
        <f>AVERAGE(I36:I41)</f>
        <v>0.15334774250582342</v>
      </c>
      <c r="J43" s="2">
        <f>AVERAGE(H36:H41)</f>
        <v>0.18030344777115345</v>
      </c>
      <c r="K43" s="2">
        <f>AVERAGE(K36:K40)</f>
        <v>0.51783197653174562</v>
      </c>
      <c r="L43" s="2">
        <f>AVERAGE(L36:L42)</f>
        <v>3.7729413548213894E-2</v>
      </c>
      <c r="M43" s="5"/>
    </row>
    <row r="45" spans="1:13" x14ac:dyDescent="0.3">
      <c r="A45" s="42" t="s">
        <v>51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ht="43.2" x14ac:dyDescent="0.3">
      <c r="A46" s="3"/>
      <c r="B46" s="3" t="s">
        <v>0</v>
      </c>
      <c r="C46" s="3" t="s">
        <v>6</v>
      </c>
      <c r="D46" s="3" t="s">
        <v>7</v>
      </c>
      <c r="E46" s="3" t="s">
        <v>8</v>
      </c>
      <c r="F46" s="3" t="s">
        <v>9</v>
      </c>
      <c r="G46" s="3" t="s">
        <v>10</v>
      </c>
      <c r="H46" s="3" t="s">
        <v>17</v>
      </c>
      <c r="I46" s="4" t="s">
        <v>4</v>
      </c>
      <c r="J46" s="4" t="s">
        <v>11</v>
      </c>
      <c r="K46" s="4" t="s">
        <v>5</v>
      </c>
      <c r="L46" s="4" t="s">
        <v>2</v>
      </c>
      <c r="M46" s="4" t="s">
        <v>12</v>
      </c>
    </row>
    <row r="47" spans="1:13" x14ac:dyDescent="0.3">
      <c r="A47" t="s">
        <v>6</v>
      </c>
      <c r="B47" s="1">
        <v>0</v>
      </c>
      <c r="C47" s="1">
        <v>0.82030198971430401</v>
      </c>
      <c r="D47" s="1">
        <v>0</v>
      </c>
      <c r="E47" s="1">
        <v>0</v>
      </c>
      <c r="F47" s="1">
        <v>5.3381426081007999E-4</v>
      </c>
      <c r="G47" s="1">
        <v>0</v>
      </c>
      <c r="H47" s="1">
        <v>6.8488753865191604E-3</v>
      </c>
      <c r="I47" s="1">
        <f t="shared" ref="I47:I52" si="8">AVERAGE(C47:H47)</f>
        <v>0.13794744656027222</v>
      </c>
      <c r="J47" s="1"/>
      <c r="K47" s="1">
        <f>MAX(C47-H47, D47-H47,E47-H47,F47-H47, G47 - H47)</f>
        <v>0.81345311432778489</v>
      </c>
      <c r="L47" s="1"/>
    </row>
    <row r="48" spans="1:13" x14ac:dyDescent="0.3">
      <c r="A48" t="s">
        <v>7</v>
      </c>
      <c r="B48" s="1">
        <v>0</v>
      </c>
      <c r="C48" s="1">
        <v>0</v>
      </c>
      <c r="D48" s="1">
        <v>0.81383833040793696</v>
      </c>
      <c r="E48" s="1">
        <v>2.3310404018654101E-4</v>
      </c>
      <c r="F48" s="1">
        <v>8.6880065407512997E-4</v>
      </c>
      <c r="G48" s="1">
        <v>1.22635630674873E-2</v>
      </c>
      <c r="H48" s="1">
        <v>0</v>
      </c>
      <c r="I48" s="1">
        <f t="shared" si="8"/>
        <v>0.13786729969494765</v>
      </c>
      <c r="J48" s="1"/>
      <c r="K48" s="1">
        <f t="shared" ref="K48:K49" si="9">MAX(C48-H48, D48-H48,E48-H48,F48-H48, G48 - H48)</f>
        <v>0.81383833040793696</v>
      </c>
      <c r="L48" s="1">
        <f>C48</f>
        <v>0</v>
      </c>
    </row>
    <row r="49" spans="1:13" x14ac:dyDescent="0.3">
      <c r="A49" t="s">
        <v>8</v>
      </c>
      <c r="B49" s="1">
        <v>0</v>
      </c>
      <c r="C49" s="1">
        <v>0</v>
      </c>
      <c r="D49" s="1">
        <v>1.9081888846509699E-5</v>
      </c>
      <c r="E49" s="1">
        <v>0.46268370902786599</v>
      </c>
      <c r="F49" s="1">
        <v>6.5980208906542704E-4</v>
      </c>
      <c r="G49" s="1">
        <v>1.97687844168588E-6</v>
      </c>
      <c r="H49" s="1">
        <v>4.0089544199872701E-5</v>
      </c>
      <c r="I49" s="1">
        <f t="shared" si="8"/>
        <v>7.7234109904736573E-2</v>
      </c>
      <c r="J49" s="1"/>
      <c r="K49" s="1">
        <f t="shared" si="9"/>
        <v>0.46264361948366611</v>
      </c>
      <c r="L49" s="1">
        <f>AVERAGE(C49,D49)</f>
        <v>9.5409444232548497E-6</v>
      </c>
    </row>
    <row r="50" spans="1:13" x14ac:dyDescent="0.3">
      <c r="A50" t="s">
        <v>9</v>
      </c>
      <c r="B50" s="1">
        <v>0.68415092180172599</v>
      </c>
      <c r="C50" s="1">
        <v>1.19033051881463E-3</v>
      </c>
      <c r="D50" s="1">
        <v>2.73319587116323E-3</v>
      </c>
      <c r="E50" s="1">
        <v>0.24713469979663599</v>
      </c>
      <c r="F50" s="1">
        <v>0.82877017805973596</v>
      </c>
      <c r="G50" s="1">
        <v>1.1844475767854099E-3</v>
      </c>
      <c r="H50" s="1">
        <v>2.39040257793021E-3</v>
      </c>
      <c r="I50" s="1">
        <f t="shared" si="8"/>
        <v>0.18056720906684423</v>
      </c>
      <c r="J50" s="1"/>
      <c r="K50" s="1">
        <f>MAX(C50-H50, D50-H50,E50-H50,F50-H50, G50 - H50)</f>
        <v>0.82637977548180575</v>
      </c>
      <c r="L50" s="1">
        <f>AVERAGE(C50, D50, E50)</f>
        <v>8.3686075395537948E-2</v>
      </c>
    </row>
    <row r="51" spans="1:13" x14ac:dyDescent="0.3">
      <c r="A51" t="s">
        <v>10</v>
      </c>
      <c r="B51" s="1">
        <v>0</v>
      </c>
      <c r="C51" s="1">
        <v>0</v>
      </c>
      <c r="D51" s="1">
        <v>8.1864032161623294E-3</v>
      </c>
      <c r="E51" s="1">
        <v>7.1923400112912795E-4</v>
      </c>
      <c r="F51" s="1">
        <v>1.7902327925488201E-3</v>
      </c>
      <c r="G51" s="1">
        <v>0.76601536323626795</v>
      </c>
      <c r="H51" s="1">
        <v>1.1250144195097699E-3</v>
      </c>
      <c r="I51" s="1">
        <f t="shared" si="8"/>
        <v>0.12963937461093633</v>
      </c>
      <c r="J51" s="1"/>
      <c r="K51" s="1">
        <f>MAX(C51-H51, D51-H51,E51-H51,F51-H51, G51 - H51)</f>
        <v>0.76489034881675821</v>
      </c>
      <c r="L51" s="1">
        <f>AVERAGE(C51, D51, E51,F51)</f>
        <v>2.6739675024600694E-3</v>
      </c>
    </row>
    <row r="52" spans="1:13" x14ac:dyDescent="0.3">
      <c r="A52" t="s">
        <v>17</v>
      </c>
      <c r="B52" s="1">
        <v>0</v>
      </c>
      <c r="C52" s="1">
        <v>5.6193850850831898E-3</v>
      </c>
      <c r="D52" s="1">
        <v>0</v>
      </c>
      <c r="E52" s="1">
        <v>1.5610715496829099E-3</v>
      </c>
      <c r="F52" s="1">
        <v>1.2959027086859899E-3</v>
      </c>
      <c r="G52" s="1">
        <v>2.9379443143019001E-3</v>
      </c>
      <c r="H52" s="1">
        <v>0.78039243568976702</v>
      </c>
      <c r="I52" s="1">
        <f t="shared" si="8"/>
        <v>0.13196778989125349</v>
      </c>
      <c r="J52" s="1"/>
      <c r="K52" s="1"/>
      <c r="L52" s="1">
        <f>AVERAGE(C52, D52, E52,F52, G52)</f>
        <v>2.2828607315507976E-3</v>
      </c>
    </row>
    <row r="53" spans="1:13" x14ac:dyDescent="0.3">
      <c r="A53" t="s">
        <v>1</v>
      </c>
      <c r="B53" s="1">
        <v>0.97939328849315599</v>
      </c>
      <c r="C53" s="1">
        <v>0</v>
      </c>
      <c r="D53" s="1">
        <v>4.4472292074715302E-5</v>
      </c>
      <c r="E53" s="1">
        <v>7.9376189387403396E-4</v>
      </c>
      <c r="F53" s="1">
        <v>4.09701249736826E-4</v>
      </c>
      <c r="G53" s="1">
        <v>4.8065699957078302E-5</v>
      </c>
      <c r="H53" s="1">
        <v>1.5505336159549101E-4</v>
      </c>
      <c r="M53" s="2">
        <f>(B53-H53)/B53</f>
        <v>0.99984168427186793</v>
      </c>
    </row>
    <row r="54" spans="1:13" x14ac:dyDescent="0.3">
      <c r="A54" s="4" t="s">
        <v>3</v>
      </c>
      <c r="B54" s="2"/>
      <c r="C54" s="2"/>
      <c r="D54" s="2"/>
      <c r="E54" s="2"/>
      <c r="F54" s="2"/>
      <c r="G54" s="2"/>
      <c r="H54" s="2"/>
      <c r="I54" s="2">
        <f>AVERAGE(I47:I52)</f>
        <v>0.13253720495483173</v>
      </c>
      <c r="J54" s="2">
        <f>AVERAGE(H47:H52)</f>
        <v>0.13179946960298769</v>
      </c>
      <c r="K54" s="2">
        <f>AVERAGE(K47:K51)</f>
        <v>0.7362410377035904</v>
      </c>
      <c r="L54" s="2">
        <f>AVERAGE(L47:L53)</f>
        <v>1.7730488914794416E-2</v>
      </c>
      <c r="M54" s="5"/>
    </row>
  </sheetData>
  <mergeCells count="5">
    <mergeCell ref="A45:M45"/>
    <mergeCell ref="A1:M1"/>
    <mergeCell ref="A12:M12"/>
    <mergeCell ref="A23:M23"/>
    <mergeCell ref="A34:M34"/>
  </mergeCells>
  <conditionalFormatting sqref="B3:H9">
    <cfRule type="cellIs" dxfId="24" priority="26" operator="between">
      <formula>0.1</formula>
      <formula>0.2</formula>
    </cfRule>
    <cfRule type="cellIs" dxfId="23" priority="27" operator="between">
      <formula>0.2</formula>
      <formula>0.4</formula>
    </cfRule>
    <cfRule type="cellIs" dxfId="22" priority="28" operator="between">
      <formula>0.4</formula>
      <formula>0.6</formula>
    </cfRule>
    <cfRule type="cellIs" dxfId="21" priority="29" operator="between">
      <formula>0.6</formula>
      <formula>0.8</formula>
    </cfRule>
    <cfRule type="cellIs" dxfId="20" priority="30" operator="between">
      <formula>0.8</formula>
      <formula>1</formula>
    </cfRule>
  </conditionalFormatting>
  <conditionalFormatting sqref="B14:H20">
    <cfRule type="cellIs" dxfId="19" priority="16" operator="between">
      <formula>0.1</formula>
      <formula>0.2</formula>
    </cfRule>
    <cfRule type="cellIs" dxfId="18" priority="17" operator="between">
      <formula>0.2</formula>
      <formula>0.4</formula>
    </cfRule>
    <cfRule type="cellIs" dxfId="17" priority="18" operator="between">
      <formula>0.4</formula>
      <formula>0.6</formula>
    </cfRule>
    <cfRule type="cellIs" dxfId="16" priority="19" operator="between">
      <formula>0.6</formula>
      <formula>0.8</formula>
    </cfRule>
    <cfRule type="cellIs" dxfId="15" priority="20" operator="between">
      <formula>0.8</formula>
      <formula>1</formula>
    </cfRule>
  </conditionalFormatting>
  <conditionalFormatting sqref="B25:H31">
    <cfRule type="cellIs" dxfId="14" priority="11" operator="between">
      <formula>0.1</formula>
      <formula>0.2</formula>
    </cfRule>
    <cfRule type="cellIs" dxfId="13" priority="12" operator="between">
      <formula>0.2</formula>
      <formula>0.4</formula>
    </cfRule>
    <cfRule type="cellIs" dxfId="12" priority="13" operator="between">
      <formula>0.4</formula>
      <formula>0.6</formula>
    </cfRule>
    <cfRule type="cellIs" dxfId="11" priority="14" operator="between">
      <formula>0.6</formula>
      <formula>0.8</formula>
    </cfRule>
    <cfRule type="cellIs" dxfId="10" priority="15" operator="between">
      <formula>0.8</formula>
      <formula>1</formula>
    </cfRule>
  </conditionalFormatting>
  <conditionalFormatting sqref="B36:H42">
    <cfRule type="cellIs" dxfId="9" priority="6" operator="between">
      <formula>0.1</formula>
      <formula>0.2</formula>
    </cfRule>
    <cfRule type="cellIs" dxfId="8" priority="7" operator="between">
      <formula>0.2</formula>
      <formula>0.4</formula>
    </cfRule>
    <cfRule type="cellIs" dxfId="7" priority="8" operator="between">
      <formula>0.4</formula>
      <formula>0.6</formula>
    </cfRule>
    <cfRule type="cellIs" dxfId="6" priority="9" operator="between">
      <formula>0.6</formula>
      <formula>0.8</formula>
    </cfRule>
    <cfRule type="cellIs" dxfId="5" priority="10" operator="between">
      <formula>0.8</formula>
      <formula>1</formula>
    </cfRule>
  </conditionalFormatting>
  <conditionalFormatting sqref="B47:H53">
    <cfRule type="cellIs" dxfId="4" priority="1" operator="between">
      <formula>0.1</formula>
      <formula>0.2</formula>
    </cfRule>
    <cfRule type="cellIs" dxfId="3" priority="2" operator="between">
      <formula>0.2</formula>
      <formula>0.4</formula>
    </cfRule>
    <cfRule type="cellIs" dxfId="2" priority="3" operator="between">
      <formula>0.4</formula>
      <formula>0.6</formula>
    </cfRule>
    <cfRule type="cellIs" dxfId="1" priority="4" operator="between">
      <formula>0.6</formula>
      <formula>0.8</formula>
    </cfRule>
    <cfRule type="cellIs" dxfId="0" priority="5" operator="between">
      <formula>0.8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ZSCL</vt:lpstr>
      <vt:lpstr>CIL-LoRA</vt:lpstr>
      <vt:lpstr>TIL-LoRA</vt:lpstr>
      <vt:lpstr>CPE-CLIP</vt:lpstr>
      <vt:lpstr>Fine-tuning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verma</dc:creator>
  <cp:lastModifiedBy>Shashank verma</cp:lastModifiedBy>
  <dcterms:created xsi:type="dcterms:W3CDTF">2026-07-28T11:44:01Z</dcterms:created>
  <dcterms:modified xsi:type="dcterms:W3CDTF">2026-10-18T14:32:28Z</dcterms:modified>
</cp:coreProperties>
</file>